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ickd\Downloads\"/>
    </mc:Choice>
  </mc:AlternateContent>
  <xr:revisionPtr revIDLastSave="0" documentId="8_{FCDE3BAD-134E-40F4-B734-961ECD60FA49}" xr6:coauthVersionLast="47" xr6:coauthVersionMax="47" xr10:uidLastSave="{00000000-0000-0000-0000-000000000000}"/>
  <bookViews>
    <workbookView xWindow="-108" yWindow="-108" windowWidth="23256" windowHeight="12456" activeTab="6" xr2:uid="{14C41250-522A-4597-B787-E3491BD31455}"/>
  </bookViews>
  <sheets>
    <sheet name="New process flow" sheetId="15" r:id="rId1"/>
    <sheet name="batch 3 data" sheetId="16" r:id="rId2"/>
    <sheet name="ICP-F" sheetId="5" r:id="rId3"/>
    <sheet name="SPTS-DRIE" sheetId="4" r:id="rId4"/>
    <sheet name="5 um depth" sheetId="13" r:id="rId5"/>
    <sheet name="DRIE etch rates" sheetId="6" r:id="rId6"/>
    <sheet name="Process flow" sheetId="2" r:id="rId7"/>
    <sheet name="Drop gauge" sheetId="14" r:id="rId8"/>
    <sheet name="batch 1 data" sheetId="3" r:id="rId9"/>
    <sheet name="DOE data" sheetId="12" r:id="rId10"/>
    <sheet name="DOE" sheetId="10" r:id="rId11"/>
    <sheet name="MM_Deep_3x_-3" sheetId="7" r:id="rId12"/>
    <sheet name="Important Resources"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6" l="1"/>
  <c r="L22" i="16"/>
  <c r="M22" i="16"/>
  <c r="N22" i="16"/>
  <c r="O22" i="16"/>
  <c r="K23" i="16"/>
  <c r="L23" i="16"/>
  <c r="M23" i="16"/>
  <c r="N23" i="16"/>
  <c r="O23" i="16"/>
  <c r="P23" i="16" s="1"/>
  <c r="Q23" i="16" s="1"/>
  <c r="P9" i="16"/>
  <c r="Q9" i="16" s="1"/>
  <c r="O24" i="16"/>
  <c r="N24" i="16"/>
  <c r="M24" i="16"/>
  <c r="L24" i="16"/>
  <c r="K24" i="16"/>
  <c r="P8" i="16"/>
  <c r="P7" i="16"/>
  <c r="Q8" i="16"/>
  <c r="Q7" i="16"/>
  <c r="O21" i="16"/>
  <c r="N21" i="16"/>
  <c r="M21" i="16"/>
  <c r="L21" i="16"/>
  <c r="K21" i="16"/>
  <c r="O20" i="16"/>
  <c r="N20" i="16"/>
  <c r="M20" i="16"/>
  <c r="L20" i="16"/>
  <c r="K20" i="16"/>
  <c r="P20" i="16" s="1"/>
  <c r="Q20" i="16" s="1"/>
  <c r="O19" i="16"/>
  <c r="N19" i="16"/>
  <c r="M19" i="16"/>
  <c r="L19" i="16"/>
  <c r="K19" i="16"/>
  <c r="O18" i="16"/>
  <c r="N18" i="16"/>
  <c r="M18" i="16"/>
  <c r="L18" i="16"/>
  <c r="K18" i="16"/>
  <c r="P6" i="16"/>
  <c r="Q6" i="16" s="1"/>
  <c r="P4" i="16"/>
  <c r="Q4" i="16" s="1"/>
  <c r="P3" i="16"/>
  <c r="Q3" i="16" s="1"/>
  <c r="I14" i="16"/>
  <c r="J14" i="16" s="1"/>
  <c r="I13" i="16"/>
  <c r="J13" i="16" s="1"/>
  <c r="I12" i="16"/>
  <c r="J12" i="16" s="1"/>
  <c r="I11" i="16"/>
  <c r="J11" i="16" s="1"/>
  <c r="I10" i="16"/>
  <c r="J10" i="16" s="1"/>
  <c r="I9" i="16"/>
  <c r="J9" i="16" s="1"/>
  <c r="P5" i="16"/>
  <c r="Q5" i="16" s="1"/>
  <c r="I8" i="16"/>
  <c r="J8" i="16" s="1"/>
  <c r="I7" i="16"/>
  <c r="J7" i="16" s="1"/>
  <c r="I6" i="16"/>
  <c r="J6" i="16" s="1"/>
  <c r="I5" i="16"/>
  <c r="J5" i="16" s="1"/>
  <c r="I4" i="16"/>
  <c r="J4" i="16" s="1"/>
  <c r="I3" i="16"/>
  <c r="J3" i="16" s="1"/>
  <c r="P18" i="16" l="1"/>
  <c r="Q18" i="16" s="1"/>
  <c r="P21" i="16"/>
  <c r="Q21" i="16" s="1"/>
  <c r="P19" i="16"/>
  <c r="Q19" i="16" s="1"/>
  <c r="P24" i="16"/>
  <c r="Q24" i="16" s="1"/>
  <c r="P22" i="16"/>
  <c r="Q22" i="16" s="1"/>
  <c r="F9" i="13"/>
  <c r="E9" i="13"/>
  <c r="D9" i="13"/>
  <c r="Y9" i="13" s="1"/>
  <c r="B9" i="13"/>
  <c r="P9" i="13" s="1"/>
  <c r="B8" i="13"/>
  <c r="P8" i="13" s="1"/>
  <c r="B6" i="13"/>
  <c r="P6" i="13" s="1"/>
  <c r="F8" i="13"/>
  <c r="E8" i="13"/>
  <c r="D8" i="13"/>
  <c r="F7" i="13"/>
  <c r="E7" i="13"/>
  <c r="D7" i="13"/>
  <c r="B7" i="13"/>
  <c r="P7" i="13" s="1"/>
  <c r="F6" i="13"/>
  <c r="E6" i="13"/>
  <c r="D6" i="13"/>
  <c r="F5" i="13"/>
  <c r="E5" i="13"/>
  <c r="D5" i="13"/>
  <c r="B5" i="13"/>
  <c r="P5" i="13" s="1"/>
  <c r="F4" i="13"/>
  <c r="E4" i="13"/>
  <c r="D4" i="13"/>
  <c r="Y4" i="13" s="1"/>
  <c r="AE4" i="13" s="1"/>
  <c r="B4" i="13"/>
  <c r="P4" i="13" s="1"/>
  <c r="B3" i="13"/>
  <c r="P3" i="13" s="1"/>
  <c r="F3" i="13"/>
  <c r="E3" i="13"/>
  <c r="D3" i="13"/>
  <c r="B2" i="13"/>
  <c r="P2" i="13" s="1"/>
  <c r="V2" i="13" s="1"/>
  <c r="D18" i="14"/>
  <c r="C18" i="14"/>
  <c r="B18" i="14"/>
  <c r="D17" i="14"/>
  <c r="C17" i="14"/>
  <c r="B17" i="14"/>
  <c r="D16" i="14"/>
  <c r="C16" i="14"/>
  <c r="B16" i="14"/>
  <c r="E16" i="14" s="1"/>
  <c r="F16" i="14" s="1"/>
  <c r="D15" i="14"/>
  <c r="C15" i="14"/>
  <c r="B15" i="14"/>
  <c r="D14" i="14"/>
  <c r="C14" i="14"/>
  <c r="B14" i="14"/>
  <c r="E7" i="14"/>
  <c r="F7" i="14" s="1"/>
  <c r="E6" i="14"/>
  <c r="F6" i="14" s="1"/>
  <c r="E5" i="14"/>
  <c r="F5" i="14" s="1"/>
  <c r="E8" i="14"/>
  <c r="F8" i="14" s="1"/>
  <c r="E9" i="14"/>
  <c r="F9" i="14" s="1"/>
  <c r="D21" i="14"/>
  <c r="C21" i="14"/>
  <c r="B21" i="14"/>
  <c r="E12" i="14"/>
  <c r="F12" i="14" s="1"/>
  <c r="E10" i="14"/>
  <c r="F10" i="14" s="1"/>
  <c r="D19" i="14"/>
  <c r="C19" i="14"/>
  <c r="B19" i="14"/>
  <c r="D20" i="14"/>
  <c r="C20" i="14"/>
  <c r="B20" i="14"/>
  <c r="E20" i="14" s="1"/>
  <c r="F20" i="14" s="1"/>
  <c r="E11" i="14"/>
  <c r="F11" i="14" s="1"/>
  <c r="BN10" i="12"/>
  <c r="BI10" i="12"/>
  <c r="BO10" i="12" s="1"/>
  <c r="BD10" i="12"/>
  <c r="BE10" i="12" s="1"/>
  <c r="AY10" i="12"/>
  <c r="AZ10" i="12" s="1"/>
  <c r="BN12" i="12"/>
  <c r="BI12" i="12"/>
  <c r="BO12" i="12" s="1"/>
  <c r="BD12" i="12"/>
  <c r="BJ12" i="12" s="1"/>
  <c r="AY11" i="12"/>
  <c r="AZ11" i="12" s="1"/>
  <c r="AY12" i="12"/>
  <c r="AZ12" i="12" s="1"/>
  <c r="E2" i="14"/>
  <c r="F2" i="14" s="1"/>
  <c r="E3" i="14"/>
  <c r="F3" i="14" s="1"/>
  <c r="BN11" i="12"/>
  <c r="BI11" i="12"/>
  <c r="BO11" i="12" s="1"/>
  <c r="BD11" i="12"/>
  <c r="BJ11" i="12" s="1"/>
  <c r="BN8" i="12"/>
  <c r="BI8" i="12"/>
  <c r="BO8" i="12" s="1"/>
  <c r="BD8" i="12"/>
  <c r="BE8" i="12" s="1"/>
  <c r="AY8" i="12"/>
  <c r="AZ8" i="12" s="1"/>
  <c r="F2" i="13"/>
  <c r="E2" i="13"/>
  <c r="D2" i="13"/>
  <c r="F12" i="6"/>
  <c r="D18" i="6"/>
  <c r="D17" i="6"/>
  <c r="D16" i="6"/>
  <c r="D15" i="6"/>
  <c r="D14" i="6"/>
  <c r="D13" i="6"/>
  <c r="AL12" i="12"/>
  <c r="AM12" i="12" s="1"/>
  <c r="AL10" i="12"/>
  <c r="AM10" i="12" s="1"/>
  <c r="AY5" i="12"/>
  <c r="F11" i="6" s="1"/>
  <c r="AY9" i="12"/>
  <c r="F15" i="6" s="1"/>
  <c r="BN9" i="12"/>
  <c r="BI9" i="12"/>
  <c r="BO9" i="12" s="1"/>
  <c r="BD9" i="12"/>
  <c r="BE9" i="12" s="1"/>
  <c r="BD5" i="12"/>
  <c r="BE5" i="12" s="1"/>
  <c r="BI5" i="12"/>
  <c r="BO5" i="12" s="1"/>
  <c r="BN5" i="12"/>
  <c r="BN7" i="12"/>
  <c r="BN6" i="12"/>
  <c r="BN4" i="12"/>
  <c r="BN3" i="12"/>
  <c r="BI7" i="12"/>
  <c r="BO7" i="12" s="1"/>
  <c r="BI6" i="12"/>
  <c r="BO6" i="12" s="1"/>
  <c r="BI4" i="12"/>
  <c r="BO4" i="12" s="1"/>
  <c r="BI3" i="12"/>
  <c r="BO3" i="12" s="1"/>
  <c r="BD7" i="12"/>
  <c r="BE7" i="12" s="1"/>
  <c r="BD6" i="12"/>
  <c r="BE6" i="12" s="1"/>
  <c r="BD4" i="12"/>
  <c r="BE4" i="12" s="1"/>
  <c r="BD3" i="12"/>
  <c r="BE3" i="12" s="1"/>
  <c r="AL3" i="12"/>
  <c r="AM3" i="12" s="1"/>
  <c r="AE3" i="12"/>
  <c r="AF3" i="12" s="1"/>
  <c r="S3" i="12"/>
  <c r="T3" i="12" s="1"/>
  <c r="K3" i="12"/>
  <c r="F3" i="12"/>
  <c r="D11" i="6" s="1"/>
  <c r="S12" i="12"/>
  <c r="T12" i="12" s="1"/>
  <c r="AL11" i="12"/>
  <c r="AM11" i="12" s="1"/>
  <c r="AE11" i="12"/>
  <c r="AF11" i="12" s="1"/>
  <c r="S11" i="12"/>
  <c r="T11" i="12" s="1"/>
  <c r="S10" i="12"/>
  <c r="T10" i="12" s="1"/>
  <c r="AL9" i="12"/>
  <c r="AM9" i="12" s="1"/>
  <c r="S9" i="12"/>
  <c r="T9" i="12" s="1"/>
  <c r="AL8" i="12"/>
  <c r="AM8" i="12" s="1"/>
  <c r="AE8" i="12"/>
  <c r="AF8" i="12" s="1"/>
  <c r="S8" i="12"/>
  <c r="AY7" i="12"/>
  <c r="AZ7" i="12" s="1"/>
  <c r="AL7" i="12"/>
  <c r="AM7" i="12" s="1"/>
  <c r="AE7" i="12"/>
  <c r="AF7" i="12" s="1"/>
  <c r="S7" i="12"/>
  <c r="T7" i="12" s="1"/>
  <c r="AL6" i="12"/>
  <c r="AM6" i="12" s="1"/>
  <c r="S6" i="12"/>
  <c r="T6" i="12" s="1"/>
  <c r="AL5" i="12"/>
  <c r="AM5" i="12" s="1"/>
  <c r="S5" i="12"/>
  <c r="T5" i="12" s="1"/>
  <c r="AY4" i="12"/>
  <c r="AZ4" i="12" s="1"/>
  <c r="AL4" i="12"/>
  <c r="AM4" i="12" s="1"/>
  <c r="AE4" i="12"/>
  <c r="AF4" i="12" s="1"/>
  <c r="S4" i="12"/>
  <c r="T4" i="12" s="1"/>
  <c r="K4" i="12"/>
  <c r="F4" i="12"/>
  <c r="D12" i="6" s="1"/>
  <c r="AY3" i="12"/>
  <c r="AZ3" i="12" s="1"/>
  <c r="Y5" i="13" l="1"/>
  <c r="AG5" i="13" s="1"/>
  <c r="T3" i="13"/>
  <c r="X3" i="13"/>
  <c r="AL3" i="13" s="1"/>
  <c r="E17" i="14"/>
  <c r="F17" i="14" s="1"/>
  <c r="Y6" i="13"/>
  <c r="Z6" i="13" s="1"/>
  <c r="X5" i="13"/>
  <c r="AL5" i="13" s="1"/>
  <c r="V5" i="13"/>
  <c r="R5" i="13"/>
  <c r="U5" i="13"/>
  <c r="Q3" i="13"/>
  <c r="E18" i="14"/>
  <c r="F18" i="14" s="1"/>
  <c r="W2" i="13"/>
  <c r="T2" i="13"/>
  <c r="R3" i="13"/>
  <c r="Y7" i="13"/>
  <c r="AF7" i="13" s="1"/>
  <c r="E19" i="14"/>
  <c r="F19" i="14" s="1"/>
  <c r="X2" i="13"/>
  <c r="AL2" i="13" s="1"/>
  <c r="S3" i="13"/>
  <c r="E14" i="14"/>
  <c r="F14" i="14" s="1"/>
  <c r="Y3" i="13"/>
  <c r="AB3" i="13" s="1"/>
  <c r="U3" i="13"/>
  <c r="Y8" i="13"/>
  <c r="AB8" i="13" s="1"/>
  <c r="Q2" i="13"/>
  <c r="V3" i="13"/>
  <c r="R4" i="13"/>
  <c r="Q4" i="13"/>
  <c r="W4" i="13"/>
  <c r="V4" i="13"/>
  <c r="U4" i="13"/>
  <c r="X4" i="13"/>
  <c r="AL4" i="13" s="1"/>
  <c r="T4" i="13"/>
  <c r="S4" i="13"/>
  <c r="AA9" i="13"/>
  <c r="Z9" i="13"/>
  <c r="AG9" i="13"/>
  <c r="AF9" i="13"/>
  <c r="AE9" i="13"/>
  <c r="AD9" i="13"/>
  <c r="AC9" i="13"/>
  <c r="W6" i="13"/>
  <c r="V6" i="13"/>
  <c r="Q8" i="13"/>
  <c r="V8" i="13"/>
  <c r="U8" i="13"/>
  <c r="W8" i="13"/>
  <c r="S7" i="13"/>
  <c r="R7" i="13"/>
  <c r="Q7" i="13"/>
  <c r="X7" i="13"/>
  <c r="AL7" i="13" s="1"/>
  <c r="W7" i="13"/>
  <c r="V7" i="13"/>
  <c r="U7" i="13"/>
  <c r="T7" i="13"/>
  <c r="X9" i="13"/>
  <c r="AL9" i="13" s="1"/>
  <c r="R9" i="13"/>
  <c r="W9" i="13"/>
  <c r="Q9" i="13"/>
  <c r="V9" i="13"/>
  <c r="U9" i="13"/>
  <c r="T9" i="13"/>
  <c r="S9" i="13"/>
  <c r="R2" i="13"/>
  <c r="W3" i="13"/>
  <c r="S2" i="13"/>
  <c r="Q5" i="13"/>
  <c r="Y2" i="13"/>
  <c r="AG2" i="13" s="1"/>
  <c r="E15" i="14"/>
  <c r="F15" i="14" s="1"/>
  <c r="U2" i="13"/>
  <c r="S5" i="13"/>
  <c r="AZ9" i="12"/>
  <c r="T5" i="13"/>
  <c r="W5" i="13"/>
  <c r="T8" i="12"/>
  <c r="Y16" i="12"/>
  <c r="E21" i="14"/>
  <c r="F21" i="14" s="1"/>
  <c r="AC4" i="13"/>
  <c r="AG4" i="13"/>
  <c r="AA4" i="13"/>
  <c r="AD4" i="13"/>
  <c r="AF4" i="13"/>
  <c r="Z4" i="13"/>
  <c r="AB4" i="13"/>
  <c r="AB9" i="13"/>
  <c r="R8" i="13"/>
  <c r="S8" i="13"/>
  <c r="X8" i="13"/>
  <c r="AL8" i="13" s="1"/>
  <c r="T8" i="13"/>
  <c r="R6" i="13"/>
  <c r="T6" i="13"/>
  <c r="U6" i="13"/>
  <c r="X6" i="13"/>
  <c r="AL6" i="13" s="1"/>
  <c r="Q6" i="13"/>
  <c r="S6" i="13"/>
  <c r="AD7" i="13"/>
  <c r="AG7" i="13"/>
  <c r="AD3" i="13"/>
  <c r="AE5" i="13"/>
  <c r="Z5" i="13"/>
  <c r="AA5" i="13"/>
  <c r="AB5" i="13"/>
  <c r="AC5" i="13"/>
  <c r="AD5" i="13"/>
  <c r="AF5" i="13"/>
  <c r="AC6" i="13"/>
  <c r="AE6" i="13"/>
  <c r="AF6" i="13"/>
  <c r="AB6" i="13"/>
  <c r="AZ5" i="12"/>
  <c r="BJ5" i="12"/>
  <c r="C14" i="6"/>
  <c r="E14" i="6" s="1"/>
  <c r="BJ9" i="12"/>
  <c r="C15" i="6"/>
  <c r="E15" i="6" s="1"/>
  <c r="G13" i="6"/>
  <c r="BE11" i="12"/>
  <c r="C16" i="6"/>
  <c r="E16" i="6" s="1"/>
  <c r="G14" i="6"/>
  <c r="F13" i="6"/>
  <c r="C18" i="6"/>
  <c r="E18" i="6" s="1"/>
  <c r="G15" i="6"/>
  <c r="C12" i="6"/>
  <c r="E12" i="6" s="1"/>
  <c r="C13" i="6"/>
  <c r="E13" i="6" s="1"/>
  <c r="G16" i="6"/>
  <c r="BJ10" i="12"/>
  <c r="G17" i="6"/>
  <c r="C17" i="6"/>
  <c r="E17" i="6" s="1"/>
  <c r="G18" i="6"/>
  <c r="H11" i="6"/>
  <c r="H12" i="6"/>
  <c r="H13" i="6"/>
  <c r="H15" i="6"/>
  <c r="C11" i="6"/>
  <c r="E11" i="6" s="1"/>
  <c r="G11" i="6"/>
  <c r="G12" i="6"/>
  <c r="BE12" i="12"/>
  <c r="BJ8" i="12"/>
  <c r="BJ4" i="12"/>
  <c r="BJ3" i="12"/>
  <c r="BJ6" i="12"/>
  <c r="BJ7" i="12"/>
  <c r="AY12" i="3"/>
  <c r="AZ12" i="3" s="1"/>
  <c r="AY11" i="3"/>
  <c r="F6" i="6" s="1"/>
  <c r="H7" i="6"/>
  <c r="H5" i="6"/>
  <c r="G6" i="6" s="1"/>
  <c r="C6" i="6"/>
  <c r="C5" i="6"/>
  <c r="AY10" i="3"/>
  <c r="F5" i="6" s="1"/>
  <c r="D6" i="6" s="1"/>
  <c r="C2" i="6"/>
  <c r="BF9" i="3"/>
  <c r="BG9" i="3" s="1"/>
  <c r="AY9" i="3"/>
  <c r="AZ9" i="3" s="1"/>
  <c r="BP8" i="3"/>
  <c r="BP7" i="3"/>
  <c r="K3" i="3"/>
  <c r="K4" i="3"/>
  <c r="K5" i="3"/>
  <c r="K6" i="3"/>
  <c r="K7" i="3"/>
  <c r="K8" i="3"/>
  <c r="K9" i="3"/>
  <c r="K12" i="3"/>
  <c r="F12" i="3"/>
  <c r="D7" i="6" s="1"/>
  <c r="F9" i="3"/>
  <c r="F8" i="3"/>
  <c r="D3" i="6" s="1"/>
  <c r="F7" i="3"/>
  <c r="D2" i="6" s="1"/>
  <c r="F6" i="3"/>
  <c r="F5" i="3"/>
  <c r="F4" i="3"/>
  <c r="F3" i="3"/>
  <c r="AE8" i="3"/>
  <c r="C3" i="6" s="1"/>
  <c r="AY8" i="3"/>
  <c r="AZ8" i="3" s="1"/>
  <c r="AY7" i="3"/>
  <c r="AZ7" i="3" s="1"/>
  <c r="BF8" i="3"/>
  <c r="H3" i="6" s="1"/>
  <c r="BF7" i="3"/>
  <c r="H2" i="6" s="1"/>
  <c r="AL12" i="3"/>
  <c r="AM12" i="3" s="1"/>
  <c r="AL9" i="3"/>
  <c r="AM9" i="3" s="1"/>
  <c r="AL8" i="3"/>
  <c r="AM8" i="3" s="1"/>
  <c r="AE9" i="3"/>
  <c r="AF9" i="3" s="1"/>
  <c r="AE12" i="3"/>
  <c r="AF12" i="3" s="1"/>
  <c r="S3" i="3"/>
  <c r="T3" i="3"/>
  <c r="S4" i="3"/>
  <c r="T4" i="3" s="1"/>
  <c r="AL4" i="3"/>
  <c r="AM4" i="3" s="1"/>
  <c r="S5" i="3"/>
  <c r="T5" i="3"/>
  <c r="AL5" i="3"/>
  <c r="AM5" i="3" s="1"/>
  <c r="S6" i="3"/>
  <c r="T6" i="3" s="1"/>
  <c r="S7" i="3"/>
  <c r="T7" i="3" s="1"/>
  <c r="AL7" i="3"/>
  <c r="AM7" i="3" s="1"/>
  <c r="S8" i="3"/>
  <c r="T8" i="3" s="1"/>
  <c r="S9" i="3"/>
  <c r="T9" i="3" s="1"/>
  <c r="S12" i="3"/>
  <c r="T12" i="3" s="1"/>
  <c r="AA3" i="13" l="1"/>
  <c r="Z8" i="13"/>
  <c r="Z3" i="13"/>
  <c r="AA8" i="13"/>
  <c r="AD6" i="13"/>
  <c r="AF3" i="13"/>
  <c r="AA6" i="13"/>
  <c r="AF2" i="13"/>
  <c r="AE8" i="13"/>
  <c r="E6" i="6"/>
  <c r="I6" i="6" s="1"/>
  <c r="J6" i="6" s="1"/>
  <c r="AD8" i="13"/>
  <c r="AF8" i="13"/>
  <c r="AE3" i="13"/>
  <c r="AG6" i="13"/>
  <c r="AC8" i="13"/>
  <c r="AG3" i="13"/>
  <c r="AE7" i="13"/>
  <c r="Z7" i="13"/>
  <c r="AC7" i="13"/>
  <c r="AA7" i="13"/>
  <c r="AC3" i="13"/>
  <c r="AB7" i="13"/>
  <c r="AG8" i="13"/>
  <c r="C7" i="6"/>
  <c r="E7" i="6" s="1"/>
  <c r="AD2" i="13"/>
  <c r="K15" i="6"/>
  <c r="AE2" i="13"/>
  <c r="AC2" i="13"/>
  <c r="I15" i="6"/>
  <c r="J15" i="6" s="1"/>
  <c r="AB2" i="13"/>
  <c r="AA2" i="13"/>
  <c r="G7" i="6"/>
  <c r="Z2" i="13"/>
  <c r="I11" i="6"/>
  <c r="J11" i="6" s="1"/>
  <c r="I13" i="6"/>
  <c r="J13" i="6" s="1"/>
  <c r="K13" i="6"/>
  <c r="I12" i="6"/>
  <c r="J12" i="6" s="1"/>
  <c r="K11" i="6"/>
  <c r="K12" i="6"/>
  <c r="F7" i="6"/>
  <c r="K6" i="6"/>
  <c r="AZ11" i="3"/>
  <c r="AZ10" i="3"/>
  <c r="F4" i="6"/>
  <c r="D5" i="6" s="1"/>
  <c r="K5" i="6" s="1"/>
  <c r="F3" i="6"/>
  <c r="K3" i="6" s="1"/>
  <c r="G3" i="6"/>
  <c r="H4" i="6"/>
  <c r="G5" i="6" s="1"/>
  <c r="BG7" i="3"/>
  <c r="G2" i="6"/>
  <c r="AF8" i="3"/>
  <c r="G4" i="6"/>
  <c r="BN9" i="3"/>
  <c r="D4" i="6"/>
  <c r="E3" i="6"/>
  <c r="BM7" i="3"/>
  <c r="BM9" i="3"/>
  <c r="E2" i="6"/>
  <c r="F2" i="6"/>
  <c r="K2" i="6" s="1"/>
  <c r="BN7" i="3"/>
  <c r="C4" i="6"/>
  <c r="BN8" i="3"/>
  <c r="BG8" i="3"/>
  <c r="I2" i="6" l="1"/>
  <c r="J2" i="6" s="1"/>
  <c r="I7" i="6"/>
  <c r="J7" i="6" s="1"/>
  <c r="K7" i="6"/>
  <c r="BO7" i="3"/>
  <c r="I3" i="6"/>
  <c r="J3" i="6" s="1"/>
  <c r="BM8" i="3" s="1"/>
  <c r="BO8" i="3" s="1"/>
  <c r="E5" i="6"/>
  <c r="I5" i="6" s="1"/>
  <c r="J5" i="6" s="1"/>
  <c r="BO9" i="3"/>
  <c r="E4" i="6"/>
  <c r="I4" i="6" s="1"/>
  <c r="K4" i="6"/>
  <c r="J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tc={D2B29DA9-4D8B-4F08-ADFF-1F115C7F85FE}</author>
    <author>tc={1117D501-34C2-4342-84E3-34504FAA70AF}</author>
    <author>tc={B805FFB4-7E5E-4471-9923-44D4F53E1E80}</author>
    <author>tc={E941C4BE-65F9-4C29-82EC-7795BF3589B2}</author>
    <author>tc={5238D63D-D765-47C8-BDB1-E7DFD26AAFA3}</author>
  </authors>
  <commentList>
    <comment ref="B6" authorId="0" shapeId="0" xr:uid="{D2B29DA9-4D8B-4F08-ADFF-1F115C7F85FE}">
      <text>
        <t>[Threaded comment]
Your version of Excel allows you to read this threaded comment; however, any edits to it will get removed if the file is opened in a newer version of Excel. Learn more: https://go.microsoft.com/fwlink/?linkid=870924
Comment:
    Ask Grace about drop gauge approach</t>
      </text>
    </comment>
    <comment ref="D8" authorId="1" shapeId="0" xr:uid="{1117D501-34C2-4342-84E3-34504FAA70AF}">
      <text>
        <t>[Threaded comment]
Your version of Excel allows you to read this threaded comment; however, any edits to it will get removed if the file is opened in a newer version of Excel. Learn more: https://go.microsoft.com/fwlink/?linkid=870924
Comment:
    Need to ask Jean about 1 um feature size resolution. May need to do AZ1512 --&gt; oxide --&gt;AZ10XT stack. Using new mask might not be reasonable</t>
      </text>
    </comment>
    <comment ref="D12" authorId="2" shapeId="0" xr:uid="{B805FFB4-7E5E-4471-9923-44D4F53E1E80}">
      <text>
        <t>[Threaded comment]
Your version of Excel allows you to read this threaded comment; however, any edits to it will get removed if the file is opened in a newer version of Excel. Learn more: https://go.microsoft.com/fwlink/?linkid=870924
Comment:
    Talk to Jean, probably need do to exposure matrix</t>
      </text>
    </comment>
    <comment ref="C16" authorId="3" shapeId="0" xr:uid="{E941C4BE-65F9-4C29-82EC-7795BF3589B2}">
      <text>
        <t>[Threaded comment]
Your version of Excel allows you to read this threaded comment; however, any edits to it will get removed if the file is opened in a newer version of Excel. Learn more: https://go.microsoft.com/fwlink/?linkid=870924
Comment:
    Talk to Grace, probably need 15 minute etch, 15 loops?</t>
      </text>
    </comment>
    <comment ref="D18" authorId="4" shapeId="0" xr:uid="{5238D63D-D765-47C8-BDB1-E7DFD26AAFA3}">
      <text>
        <t>[Threaded comment]
Your version of Excel allows you to read this threaded comment; however, any edits to it will get removed if the file is opened in a newer version of Excel. Learn more: https://go.microsoft.com/fwlink/?linkid=870924
Comment:
    Realistically 1 um trenches are probably too small but we’ll see</t>
      </text>
    </comment>
  </commentList>
</comments>
</file>

<file path=xl/sharedStrings.xml><?xml version="1.0" encoding="utf-8"?>
<sst xmlns="http://schemas.openxmlformats.org/spreadsheetml/2006/main" count="1371" uniqueCount="559">
  <si>
    <t>High aspect ratio process development project</t>
  </si>
  <si>
    <t>step</t>
  </si>
  <si>
    <t>Tool</t>
  </si>
  <si>
    <t>Recipe</t>
  </si>
  <si>
    <t>Notes</t>
  </si>
  <si>
    <t>Purpose</t>
  </si>
  <si>
    <t>1. Drop gauge</t>
  </si>
  <si>
    <t>Drop gauge</t>
  </si>
  <si>
    <t>Measure just outside C,N,E,S,W features</t>
  </si>
  <si>
    <t>2. Ash</t>
  </si>
  <si>
    <t>YES asher</t>
  </si>
  <si>
    <t>Recipe 4 Descum</t>
  </si>
  <si>
    <t>Ash immediately prior to deposition</t>
  </si>
  <si>
    <t>Wafer clean</t>
  </si>
  <si>
    <t>3. Oxide</t>
  </si>
  <si>
    <t>PECVD2</t>
  </si>
  <si>
    <t>USER_SiO2_350_6u</t>
  </si>
  <si>
    <t>32 min for single wafer, 43 min for wafer + afterclean</t>
  </si>
  <si>
    <t>Hard mask for DRIE etch</t>
  </si>
  <si>
    <t>4. Drop gauge/Filmmetrics</t>
  </si>
  <si>
    <r>
      <rPr>
        <sz val="14"/>
        <color rgb="FF000000"/>
        <rFont val="Calibri"/>
        <scheme val="minor"/>
      </rPr>
      <t xml:space="preserve">Measure just outside C,N,E,S,W features. </t>
    </r>
    <r>
      <rPr>
        <sz val="14"/>
        <color rgb="FFC00000"/>
        <rFont val="Calibri"/>
        <scheme val="minor"/>
      </rPr>
      <t>Filmmetrics is a more accurate way to measure oxide thickness especially when oxide thickness is &lt;5 um.</t>
    </r>
  </si>
  <si>
    <t>measure oxide thickness</t>
  </si>
  <si>
    <t>5. Ash</t>
  </si>
  <si>
    <t>Ash immediately prior to coating</t>
  </si>
  <si>
    <t>Improve resist adhesion</t>
  </si>
  <si>
    <t>6. Coat</t>
  </si>
  <si>
    <t>Rite Track (coater side)</t>
  </si>
  <si>
    <t>talk to Jean</t>
  </si>
  <si>
    <t>AZ10XT, 9 um</t>
  </si>
  <si>
    <t>HMDS, coat, bake to deposit photoresist</t>
  </si>
  <si>
    <t>6.1 EBR</t>
  </si>
  <si>
    <t>remove edge bead for ICP-F</t>
  </si>
  <si>
    <t>6.2 Rehydrate</t>
  </si>
  <si>
    <t>30 min</t>
  </si>
  <si>
    <t>Important!!! Don't skip this step otherwise photoresist will crack post develop</t>
  </si>
  <si>
    <t>7. Drop gauge</t>
  </si>
  <si>
    <t>measure resist thickness</t>
  </si>
  <si>
    <t>8. Expose</t>
  </si>
  <si>
    <t>ABM</t>
  </si>
  <si>
    <t>HAR DRIE mask</t>
  </si>
  <si>
    <t xml:space="preserve">84s total, split into two 42 second intervals with at least 30s inbetween exposure. </t>
  </si>
  <si>
    <t>Expose test pattern into resist</t>
  </si>
  <si>
    <t xml:space="preserve"> </t>
  </si>
  <si>
    <t>9. Develop</t>
  </si>
  <si>
    <t>Rite Track (developer Track)</t>
  </si>
  <si>
    <t>DEV6</t>
  </si>
  <si>
    <t>Dissolve exposed regions of resist in developer to transfer mask pattern into resist</t>
  </si>
  <si>
    <t>10. Inspect</t>
  </si>
  <si>
    <t>NIKON</t>
  </si>
  <si>
    <t>Check for completed develop and flaws (NOTE: features with sizes less than 3um may not resolve.)</t>
  </si>
  <si>
    <t>Visually confirm exposure and development of resist</t>
  </si>
  <si>
    <t>11. Ash</t>
  </si>
  <si>
    <t>cleans remnants of exposed-yet-undeveloped resist via a low-power oxygen plasma</t>
  </si>
  <si>
    <t>12. Etch oxide hardmask</t>
  </si>
  <si>
    <t>ICP-F</t>
  </si>
  <si>
    <t>QT SiO2 Etch-C4F8/O2 20C 5mT, 10.5 min</t>
  </si>
  <si>
    <t>Removal of oxide layer in exposed areas</t>
  </si>
  <si>
    <t>13. Drop gauge</t>
  </si>
  <si>
    <t>measure remaining resist thickness</t>
  </si>
  <si>
    <t>14. Keyence</t>
  </si>
  <si>
    <t>Keyence</t>
  </si>
  <si>
    <t>Measure trench and hole depths of C,N,E,S,W features</t>
  </si>
  <si>
    <t>14.1 SEM *</t>
  </si>
  <si>
    <t>SEM</t>
  </si>
  <si>
    <t>may not be necessary depending on if keyence works</t>
  </si>
  <si>
    <t>Sacrifice 1 wafer, cut across features, Do cross-section SEM with 45 degree angle stage, coat gold (Au/Pd recipe 30 sec) to minimize charging effect</t>
  </si>
  <si>
    <t>verify side wall profile of resist, SiO2 fully etched in trenches</t>
  </si>
  <si>
    <t>15. SPTS-DRIE DOE etch</t>
  </si>
  <si>
    <t>SPTS-DRIE</t>
  </si>
  <si>
    <t>See SPTS-DRIE tab</t>
  </si>
  <si>
    <t>16. Drop gauge</t>
  </si>
  <si>
    <t>measure remaining mask thickness</t>
  </si>
  <si>
    <t>17. SEM</t>
  </si>
  <si>
    <t xml:space="preserve">Check etch depth, side wall profile etc. </t>
  </si>
  <si>
    <t>Wafer</t>
  </si>
  <si>
    <t>4. Drop gauge</t>
  </si>
  <si>
    <t>14. Keyence (5um depths)</t>
  </si>
  <si>
    <t>Scaled trench depth</t>
  </si>
  <si>
    <t>Etch Rate</t>
  </si>
  <si>
    <t>Erosion</t>
  </si>
  <si>
    <t>Selectivity</t>
  </si>
  <si>
    <t>Aspect Ratio</t>
  </si>
  <si>
    <t>Completed</t>
  </si>
  <si>
    <t>Next Step</t>
  </si>
  <si>
    <t>C</t>
  </si>
  <si>
    <t>N (major flat)</t>
  </si>
  <si>
    <t>E</t>
  </si>
  <si>
    <t>S</t>
  </si>
  <si>
    <t>W</t>
  </si>
  <si>
    <t>Mean</t>
  </si>
  <si>
    <t>U</t>
  </si>
  <si>
    <t>Feature</t>
  </si>
  <si>
    <t>Wafer thickness</t>
  </si>
  <si>
    <t>5um trench depth</t>
  </si>
  <si>
    <t>3um trench depth</t>
  </si>
  <si>
    <t>1um trench depth</t>
  </si>
  <si>
    <t>Comments</t>
  </si>
  <si>
    <t>5 um</t>
  </si>
  <si>
    <t>3 um</t>
  </si>
  <si>
    <t>1 um</t>
  </si>
  <si>
    <t>um/loop (Si)</t>
  </si>
  <si>
    <t>um/loop (SiO2)</t>
  </si>
  <si>
    <t>(SiO2/Si)</t>
  </si>
  <si>
    <t>(W/D)</t>
  </si>
  <si>
    <t>B01</t>
  </si>
  <si>
    <t>B02</t>
  </si>
  <si>
    <t>B03</t>
  </si>
  <si>
    <t>B04</t>
  </si>
  <si>
    <t>B05</t>
  </si>
  <si>
    <t>B06</t>
  </si>
  <si>
    <t>B07</t>
  </si>
  <si>
    <t>B08</t>
  </si>
  <si>
    <t>B09</t>
  </si>
  <si>
    <t>B10</t>
  </si>
  <si>
    <t>B11</t>
  </si>
  <si>
    <t>B12</t>
  </si>
  <si>
    <t>Oxide dep:</t>
  </si>
  <si>
    <t>N</t>
  </si>
  <si>
    <t>Oxide dep Filmetrics:</t>
  </si>
  <si>
    <t>Min</t>
  </si>
  <si>
    <t>Max</t>
  </si>
  <si>
    <t>Std. Dev.</t>
  </si>
  <si>
    <t>Unif. [%]</t>
  </si>
  <si>
    <t>Run</t>
  </si>
  <si>
    <t>wafer #</t>
  </si>
  <si>
    <t>Date</t>
  </si>
  <si>
    <t>Etch time (min)</t>
  </si>
  <si>
    <t>Batches/loops</t>
  </si>
  <si>
    <t>DC bias jump time</t>
  </si>
  <si>
    <t>He flow</t>
  </si>
  <si>
    <t>A2</t>
  </si>
  <si>
    <t>QT SiO2 Etch-C4F8/O2</t>
  </si>
  <si>
    <t>A3</t>
  </si>
  <si>
    <t>A4</t>
  </si>
  <si>
    <t>A5</t>
  </si>
  <si>
    <t>A6</t>
  </si>
  <si>
    <t>A7</t>
  </si>
  <si>
    <t>A8</t>
  </si>
  <si>
    <t>A9</t>
  </si>
  <si>
    <t>A10</t>
  </si>
  <si>
    <t>A11</t>
  </si>
  <si>
    <t>A12</t>
  </si>
  <si>
    <t>A13</t>
  </si>
  <si>
    <t>A14</t>
  </si>
  <si>
    <t>A15</t>
  </si>
  <si>
    <t>A16</t>
  </si>
  <si>
    <t>Seq</t>
  </si>
  <si>
    <t>He flow at loop 10</t>
  </si>
  <si>
    <t>He flow at loop 300</t>
  </si>
  <si>
    <t>He flow at the end</t>
  </si>
  <si>
    <t>Max reflect. power 2 at loop 10</t>
  </si>
  <si>
    <t>Max reflect. power 2 at loop 300</t>
  </si>
  <si>
    <t>Max reflect. power 2 at the end</t>
  </si>
  <si>
    <t>Loop set 1:</t>
  </si>
  <si>
    <t>Loop set 2:</t>
  </si>
  <si>
    <t>Loop set 3:</t>
  </si>
  <si>
    <t>MM_Deep_STD_-3seq</t>
  </si>
  <si>
    <t>MM_Deep_Standard_-3</t>
  </si>
  <si>
    <t>14.2 sccm</t>
  </si>
  <si>
    <t xml:space="preserve">14.5 sccm </t>
  </si>
  <si>
    <t>14.9 sccm</t>
  </si>
  <si>
    <t>MM_Deep_3x_-3seq</t>
  </si>
  <si>
    <t>MM_Deep_3X_-3</t>
  </si>
  <si>
    <t>13.6 sccm</t>
  </si>
  <si>
    <t>17.0 sccm</t>
  </si>
  <si>
    <t>18.6 sccm</t>
  </si>
  <si>
    <t>A7.2</t>
  </si>
  <si>
    <t>15.6 sccm</t>
  </si>
  <si>
    <t>16.4 sccm</t>
  </si>
  <si>
    <t>A7b</t>
  </si>
  <si>
    <t>17.5 sccm</t>
  </si>
  <si>
    <t>A7c</t>
  </si>
  <si>
    <t>16.9 sccm</t>
  </si>
  <si>
    <t>MM_Deep_3xwC_-3seq</t>
  </si>
  <si>
    <t>MM_Deep_3XwC_-3</t>
  </si>
  <si>
    <t>16.5 sccm</t>
  </si>
  <si>
    <t>16.7 sccm</t>
  </si>
  <si>
    <t>18.3 sccm</t>
  </si>
  <si>
    <t>185 W</t>
  </si>
  <si>
    <t>204 W</t>
  </si>
  <si>
    <t>198 W</t>
  </si>
  <si>
    <t>MD_DOE4_3x_-3seq</t>
  </si>
  <si>
    <t>MD_DOE4_3x_-3</t>
  </si>
  <si>
    <t>17.1 sccm</t>
  </si>
  <si>
    <t>226 W</t>
  </si>
  <si>
    <t>209 W</t>
  </si>
  <si>
    <t>MD_DOE2_3x_-3seq</t>
  </si>
  <si>
    <t>MD_DOE2_3x_-3</t>
  </si>
  <si>
    <t>16.8 sccm</t>
  </si>
  <si>
    <t>18.2 sccm</t>
  </si>
  <si>
    <t>196 W</t>
  </si>
  <si>
    <t>183 W</t>
  </si>
  <si>
    <t>206 W</t>
  </si>
  <si>
    <t>MD_DOE1_3x_-3seq</t>
  </si>
  <si>
    <t>MD_DOE1_3x_-3</t>
  </si>
  <si>
    <t>19.5 sccm</t>
  </si>
  <si>
    <t>20.0 sccm</t>
  </si>
  <si>
    <t>194 W</t>
  </si>
  <si>
    <t>186 W</t>
  </si>
  <si>
    <t>174 W</t>
  </si>
  <si>
    <t>A11b</t>
  </si>
  <si>
    <t>18.1 sccm</t>
  </si>
  <si>
    <t>19.3 sccm</t>
  </si>
  <si>
    <t>189 W</t>
  </si>
  <si>
    <t>215 W</t>
  </si>
  <si>
    <t>239 W</t>
  </si>
  <si>
    <t>MD_DOE7_3x_-3seq</t>
  </si>
  <si>
    <t>MD_DOE7_3x_-3</t>
  </si>
  <si>
    <t>A11c</t>
  </si>
  <si>
    <t>17.8 sccm</t>
  </si>
  <si>
    <t>17.9 sccm</t>
  </si>
  <si>
    <t>214 W</t>
  </si>
  <si>
    <t>223 W</t>
  </si>
  <si>
    <t>17.3 sccm</t>
  </si>
  <si>
    <t>17.7 sccm</t>
  </si>
  <si>
    <t>18.7 sccm</t>
  </si>
  <si>
    <t>200 W</t>
  </si>
  <si>
    <t>179 W</t>
  </si>
  <si>
    <t>MD_DOE3_3x_-3seq</t>
  </si>
  <si>
    <t>MD_DOE3_3x_-3</t>
  </si>
  <si>
    <t>17.6 sccm</t>
  </si>
  <si>
    <t>177 W</t>
  </si>
  <si>
    <t>18.8 sccm</t>
  </si>
  <si>
    <t>192 W</t>
  </si>
  <si>
    <t>191 W</t>
  </si>
  <si>
    <t>176 W</t>
  </si>
  <si>
    <t>MD_DOE5_3x_-3seq</t>
  </si>
  <si>
    <t>MD_DOE5_3x_-3</t>
  </si>
  <si>
    <t>18.5 sccm</t>
  </si>
  <si>
    <t>193 W</t>
  </si>
  <si>
    <t>178 W</t>
  </si>
  <si>
    <t>MD_DOE8_3x_-3seq</t>
  </si>
  <si>
    <t>MD_DOE8_3x_-3</t>
  </si>
  <si>
    <t>18.0 sccm</t>
  </si>
  <si>
    <t>201 W</t>
  </si>
  <si>
    <t>195 W</t>
  </si>
  <si>
    <t>175 W</t>
  </si>
  <si>
    <t>MD_DOE6_3x_-3seq</t>
  </si>
  <si>
    <t>MD_DOE6_3x_-3</t>
  </si>
  <si>
    <t>16.1 sccm</t>
  </si>
  <si>
    <t>181 W</t>
  </si>
  <si>
    <t>167 W</t>
  </si>
  <si>
    <t>173 W</t>
  </si>
  <si>
    <t>15.8 sccm</t>
  </si>
  <si>
    <t>16.6 sccm</t>
  </si>
  <si>
    <t>15.7 sccm</t>
  </si>
  <si>
    <t>180 W</t>
  </si>
  <si>
    <t>240 W</t>
  </si>
  <si>
    <t>Drop gauge:</t>
  </si>
  <si>
    <t>Keyence:</t>
  </si>
  <si>
    <t>SEM50:</t>
  </si>
  <si>
    <t>Drop gauge scaled:</t>
  </si>
  <si>
    <t>Keyence scaled:</t>
  </si>
  <si>
    <t>SEM200+</t>
  </si>
  <si>
    <t>Pseudo-depth:</t>
  </si>
  <si>
    <t>A9S</t>
  </si>
  <si>
    <t>A10S</t>
  </si>
  <si>
    <t>A11S</t>
  </si>
  <si>
    <t>A12C</t>
  </si>
  <si>
    <t>A13S</t>
  </si>
  <si>
    <t>A14C</t>
  </si>
  <si>
    <t>A15S</t>
  </si>
  <si>
    <t>A16C</t>
  </si>
  <si>
    <t>Loops</t>
  </si>
  <si>
    <t>Photoresist before:</t>
  </si>
  <si>
    <t>Oxide before:</t>
  </si>
  <si>
    <t>Total mask before:</t>
  </si>
  <si>
    <t>Mask after:</t>
  </si>
  <si>
    <t>Depth before:</t>
  </si>
  <si>
    <t>Depth after:</t>
  </si>
  <si>
    <t>Total etched:</t>
  </si>
  <si>
    <t>Etch rate:</t>
  </si>
  <si>
    <t>Erosion:</t>
  </si>
  <si>
    <t>DOE:</t>
  </si>
  <si>
    <t>0 Ash</t>
  </si>
  <si>
    <t>1. Oxide</t>
  </si>
  <si>
    <t xml:space="preserve">Oxide: USER_SiO2_350_4u </t>
  </si>
  <si>
    <t>Oxide: 426 nm/min, time = 9.4 min</t>
  </si>
  <si>
    <t>Silicon oxide will be the hardmask for the DRIE etching</t>
  </si>
  <si>
    <t>2 Filmetrics</t>
  </si>
  <si>
    <t>Filmetrics</t>
  </si>
  <si>
    <t>SiO2 on Si</t>
  </si>
  <si>
    <t>Si reference wafer, edit expected thickness to 4000 nm</t>
  </si>
  <si>
    <t>confirm SiO2 thickness</t>
  </si>
  <si>
    <t>3. Ash</t>
  </si>
  <si>
    <t>4 COAT</t>
  </si>
  <si>
    <t>10XTD2</t>
  </si>
  <si>
    <t>AZ10XT, 7 um</t>
  </si>
  <si>
    <t>4.1 EBR</t>
  </si>
  <si>
    <t>TOPEBR20</t>
  </si>
  <si>
    <t>remove edge bead for ICP-F etcher (SiO2 etching)</t>
  </si>
  <si>
    <t>5. REHYDRATE</t>
  </si>
  <si>
    <t>6. FILMETRICS</t>
  </si>
  <si>
    <t>MFF AZ10xT on SiO2</t>
  </si>
  <si>
    <t>Si reference wafer, edit expected thickness to 7 um over 4 um</t>
  </si>
  <si>
    <t>7. EXPOSE</t>
  </si>
  <si>
    <t>Use WNF Uniformity Mask</t>
  </si>
  <si>
    <t>8. DEVELOP</t>
  </si>
  <si>
    <t>9. INSPECT</t>
  </si>
  <si>
    <t>10. DESCUM</t>
  </si>
  <si>
    <t xml:space="preserve">Recipe 4 </t>
  </si>
  <si>
    <t>11. DEKTAK</t>
  </si>
  <si>
    <t>Dektak</t>
  </si>
  <si>
    <t>Standard scan, range = 65.5 um, hills and valleys, length = 500 um, resolution = 0.1</t>
  </si>
  <si>
    <t>Measure 500 um trench 270 degrees for S,E,C (intuitive coordinates) 90 degrees for N and W (inverse coordinates)</t>
  </si>
  <si>
    <t>Measure resist thickness for direct comparison to post etching measurement. NOTE: This tool has a minimum trench width capability and typically is used to measure only the 500um or 200um wide trench depth.</t>
  </si>
  <si>
    <t>measure south, east, center at 270 degrees (intuitive coordinates), then flip to 90 degrees and measure north and west (inverse)</t>
  </si>
  <si>
    <t>11.1 SEM*</t>
  </si>
  <si>
    <t>verify side wall profile of resist --&gt; looks good with current setup✅</t>
  </si>
  <si>
    <t>To avoid reticulation, rest for one minute in chamber after 5m15s</t>
  </si>
  <si>
    <t>Removal of the SiO2 layer in the exposed areas</t>
  </si>
  <si>
    <t>13. Nanospec</t>
  </si>
  <si>
    <t>Nanospec</t>
  </si>
  <si>
    <t>WNF folder: Grace -AZ10xT onSiO2 on Si</t>
  </si>
  <si>
    <t>Edit recipe --&gt; 2 um on 4 um, measure unetched area in five different spots</t>
  </si>
  <si>
    <t>Measure remaining photoresist thickness</t>
  </si>
  <si>
    <t>14. Dektak</t>
  </si>
  <si>
    <t>Measure 500 um trench 270 degrees for S,E,C (intuitive coordinates) 90 degrees for W (inverse coordinates), 180 degrees for major flat</t>
  </si>
  <si>
    <t>due to ICP clamp, should rotate 0 degrees for major flat measurement and find clean feature</t>
  </si>
  <si>
    <t>verify side wall profile of resist, SiO2 fully etched in trenches --&gt; looks good with current setup✅</t>
  </si>
  <si>
    <t>Target: 500 um</t>
  </si>
  <si>
    <t>16. Nanospec</t>
  </si>
  <si>
    <t>MFF SiO2 on Si</t>
  </si>
  <si>
    <t>Measure unetched area</t>
  </si>
  <si>
    <t>SiO2 thickness</t>
  </si>
  <si>
    <t>17. Dektak</t>
  </si>
  <si>
    <t>Standard scan, range = 1 mm, valleys, length = 600 um, resolution = 0.1</t>
  </si>
  <si>
    <t>Measure 500 um trench</t>
  </si>
  <si>
    <t>SiO2 + trench depth</t>
  </si>
  <si>
    <t>18. SEM</t>
  </si>
  <si>
    <t xml:space="preserve">Verify etch depth, check side wall profile etc. </t>
  </si>
  <si>
    <t>For second batch:</t>
  </si>
  <si>
    <t>17. Keyence</t>
  </si>
  <si>
    <t>Measure 500 um, 200 um, and 100 um trench of C, S, E features</t>
  </si>
  <si>
    <t>Assumption before:</t>
  </si>
  <si>
    <t>A14 before:</t>
  </si>
  <si>
    <t>A9 after:</t>
  </si>
  <si>
    <t>A10 after:</t>
  </si>
  <si>
    <t>A11 after:</t>
  </si>
  <si>
    <t>A12 after:</t>
  </si>
  <si>
    <t>A13 after:</t>
  </si>
  <si>
    <t>A14 after:</t>
  </si>
  <si>
    <t>A15 after:</t>
  </si>
  <si>
    <t>A16 after:</t>
  </si>
  <si>
    <t>A9 etched:</t>
  </si>
  <si>
    <t>A10 etched:</t>
  </si>
  <si>
    <t>A11 etched:</t>
  </si>
  <si>
    <t>A12 etched:</t>
  </si>
  <si>
    <t>A13 etched:</t>
  </si>
  <si>
    <t>A14 etched:</t>
  </si>
  <si>
    <t>A15 etched:</t>
  </si>
  <si>
    <t>A16 etched:</t>
  </si>
  <si>
    <t>6 Filmetrics</t>
  </si>
  <si>
    <t>11 DEKTAK</t>
  </si>
  <si>
    <t>12 ETCH</t>
  </si>
  <si>
    <t>13 NANOSPEC</t>
  </si>
  <si>
    <t>14 DEKTAK</t>
  </si>
  <si>
    <t>15 ETCH</t>
  </si>
  <si>
    <t>16 NANOSPEC</t>
  </si>
  <si>
    <t>17 DEKTAK</t>
  </si>
  <si>
    <t>18 SEM</t>
  </si>
  <si>
    <t>Tool/Operator</t>
  </si>
  <si>
    <t>Etch time</t>
  </si>
  <si>
    <t>He (sccm@torr) or bias/CL/CT/APC</t>
  </si>
  <si>
    <t>Loops or min</t>
  </si>
  <si>
    <t>Step:</t>
  </si>
  <si>
    <t>500um depth</t>
  </si>
  <si>
    <t>5um depth</t>
  </si>
  <si>
    <t>5um width</t>
  </si>
  <si>
    <t>um/loop</t>
  </si>
  <si>
    <t>(in 5um trench)</t>
  </si>
  <si>
    <t>A1</t>
  </si>
  <si>
    <t>everything looks good</t>
  </si>
  <si>
    <t>14.1 SEM*</t>
  </si>
  <si>
    <t>ICP-F/MD</t>
  </si>
  <si>
    <t>2*7.5 min</t>
  </si>
  <si>
    <t>probably overetched</t>
  </si>
  <si>
    <t>2*6 min</t>
  </si>
  <si>
    <t>20% overetched in 5um feature</t>
  </si>
  <si>
    <t>2*5.25 min</t>
  </si>
  <si>
    <t>5-15% overetched</t>
  </si>
  <si>
    <t>SPTS-DRIE/MD</t>
  </si>
  <si>
    <t>14.5 sccm</t>
  </si>
  <si>
    <t>pillars toppled, difficulty etching smaller trenches</t>
  </si>
  <si>
    <t>Grace -AZ10xT onSiO2 on Si</t>
  </si>
  <si>
    <t>500 um trench has angled sidewalls</t>
  </si>
  <si>
    <t>From Keyence, depth was between 750-800 um</t>
  </si>
  <si>
    <t>From Keyence, depth was about 850 um</t>
  </si>
  <si>
    <t>SWW feature</t>
  </si>
  <si>
    <t>From Keyence, depth was about 800 um</t>
  </si>
  <si>
    <t>17 Keyence (500 um)</t>
  </si>
  <si>
    <t>17 Keyence (200 um)</t>
  </si>
  <si>
    <t>17 Keyence (100 um)</t>
  </si>
  <si>
    <t>200um depth</t>
  </si>
  <si>
    <t>100um depth</t>
  </si>
  <si>
    <t>5um depth (200+)</t>
  </si>
  <si>
    <t>C feature</t>
  </si>
  <si>
    <t>S feature</t>
  </si>
  <si>
    <t>CW feature</t>
  </si>
  <si>
    <t>3*3.5 min</t>
  </si>
  <si>
    <t>Current variations from loop set to loop set:</t>
  </si>
  <si>
    <t>Set 1</t>
  </si>
  <si>
    <t>Set 2</t>
  </si>
  <si>
    <t>Set 3</t>
  </si>
  <si>
    <t>Dep time</t>
  </si>
  <si>
    <t>1.2--&gt;1.4</t>
  </si>
  <si>
    <t>Etch 1 time</t>
  </si>
  <si>
    <t>1.2--&gt;1.5</t>
  </si>
  <si>
    <t>Etch 1 HF Power</t>
  </si>
  <si>
    <t>64--&gt;70</t>
  </si>
  <si>
    <t>70--&gt;80</t>
  </si>
  <si>
    <t>80--&gt;60</t>
  </si>
  <si>
    <t>Etch 2 HF Power</t>
  </si>
  <si>
    <t>Dep HF Tune Capaciter</t>
  </si>
  <si>
    <t>Etch 1 HF Tune Capaciter</t>
  </si>
  <si>
    <t>Etch 2 HF Tune Capaciter</t>
  </si>
  <si>
    <t>Dep HF Load Capaciter</t>
  </si>
  <si>
    <t>Etch 1 HF Load Capaciter</t>
  </si>
  <si>
    <t>Etch 2 HF Load Capaciter</t>
  </si>
  <si>
    <t>Recipe name</t>
  </si>
  <si>
    <t>MM_Deep_3x_-3</t>
  </si>
  <si>
    <t>Unit</t>
  </si>
  <si>
    <t>Step name</t>
  </si>
  <si>
    <t>Strike 1</t>
  </si>
  <si>
    <t>Dep 1</t>
  </si>
  <si>
    <t>Etch 1_1</t>
  </si>
  <si>
    <t>Etch 1_2</t>
  </si>
  <si>
    <t>Dep 2</t>
  </si>
  <si>
    <t>Etch 2_1</t>
  </si>
  <si>
    <t>Etch 2_2</t>
  </si>
  <si>
    <t>Dep 3</t>
  </si>
  <si>
    <t>Etch 3_1</t>
  </si>
  <si>
    <t>Etch 3_2</t>
  </si>
  <si>
    <t>Process Time</t>
  </si>
  <si>
    <t>secs</t>
  </si>
  <si>
    <t>2.5 2.5</t>
  </si>
  <si>
    <t>1.2 1.4</t>
  </si>
  <si>
    <t>1.2 1.5</t>
  </si>
  <si>
    <t>1.4 1.4</t>
  </si>
  <si>
    <t>1.5 1.5</t>
  </si>
  <si>
    <t>Process Pressure</t>
  </si>
  <si>
    <t>mTorr</t>
  </si>
  <si>
    <t>40.0 +/- 0%</t>
  </si>
  <si>
    <t>40.0 +/- 50%</t>
  </si>
  <si>
    <t>30.0 30.0 +/- 50%</t>
  </si>
  <si>
    <t>40.0 40 +/- 50%</t>
  </si>
  <si>
    <t>30.0 30 +/- 50%</t>
  </si>
  <si>
    <t>40.0 40.0 +/- 50%</t>
  </si>
  <si>
    <t>30.0 30.0 +/-50%</t>
  </si>
  <si>
    <t>APC Setpoint Position</t>
  </si>
  <si>
    <t>%</t>
  </si>
  <si>
    <t>APC Mode</t>
  </si>
  <si>
    <t>Automatic</t>
  </si>
  <si>
    <t>Source power</t>
  </si>
  <si>
    <t>Watts</t>
  </si>
  <si>
    <t>2500.0 +/- 0</t>
  </si>
  <si>
    <t>2500.0 +/- 50%</t>
  </si>
  <si>
    <t>2500.0 2500 +/- 50%</t>
  </si>
  <si>
    <t>Source MU Tune capaciter</t>
  </si>
  <si>
    <t>Source MU load capaciter</t>
  </si>
  <si>
    <t>Source RF Control Mode</t>
  </si>
  <si>
    <t>Load</t>
  </si>
  <si>
    <t>Source 2 Power</t>
  </si>
  <si>
    <t>500.0 +/- 0</t>
  </si>
  <si>
    <t>500.0 +/- 50%</t>
  </si>
  <si>
    <t>500.0 500 +/- 50%</t>
  </si>
  <si>
    <t>Source 2 MU tune capaciter</t>
  </si>
  <si>
    <t>Source 2 MU load capaciter</t>
  </si>
  <si>
    <t>Source 2 RF Control mode</t>
  </si>
  <si>
    <t>Platen HF Power</t>
  </si>
  <si>
    <t>0.0 +/- 0%</t>
  </si>
  <si>
    <t>64.0 70.0 +/- 30%</t>
  </si>
  <si>
    <t>24 +/- 40%</t>
  </si>
  <si>
    <t>0.0 0.0 +/- 0%</t>
  </si>
  <si>
    <t>70.0 80 +/- 30%</t>
  </si>
  <si>
    <t>24.0 24 +/- 40%</t>
  </si>
  <si>
    <t>80.0 60.0 +/-30%</t>
  </si>
  <si>
    <t>20.0 20.0 +/-40$</t>
  </si>
  <si>
    <t>Platen HF Tune Capaciter Adjust</t>
  </si>
  <si>
    <t>Present</t>
  </si>
  <si>
    <t xml:space="preserve">Platen HF Tune Capacter </t>
  </si>
  <si>
    <t>30.0 +/- 20%</t>
  </si>
  <si>
    <t>20.0 +/- 5%</t>
  </si>
  <si>
    <t xml:space="preserve"> 25.0 +/- 5%</t>
  </si>
  <si>
    <t>20.0 +/-5%</t>
  </si>
  <si>
    <t>Platen HF load Capaciter</t>
  </si>
  <si>
    <t>60.0 +/- 20%</t>
  </si>
  <si>
    <t>30.0 +/- 5%</t>
  </si>
  <si>
    <t>Platen HF Padding Capaciter</t>
  </si>
  <si>
    <t>Platen HF control mode</t>
  </si>
  <si>
    <t>Platen HF modulation Enabled</t>
  </si>
  <si>
    <t>Enable</t>
  </si>
  <si>
    <t>Platen HF Modulation Frequence</t>
  </si>
  <si>
    <t>Hz</t>
  </si>
  <si>
    <t>Platen HF Modulation Duty Cycle</t>
  </si>
  <si>
    <t>Hellium Pressure</t>
  </si>
  <si>
    <t>Torr</t>
  </si>
  <si>
    <t>10.0 +/- 20%</t>
  </si>
  <si>
    <t>10.0 10.0 +/- 20%</t>
  </si>
  <si>
    <t>10.0 10.0 +/-20 %</t>
  </si>
  <si>
    <t>Hellium Flow warning level</t>
  </si>
  <si>
    <t>sccm</t>
  </si>
  <si>
    <t>Hellium Flow fault level</t>
  </si>
  <si>
    <t>Coil current</t>
  </si>
  <si>
    <t>Amps</t>
  </si>
  <si>
    <t>0.0 +/- 5%</t>
  </si>
  <si>
    <t>Loop destination</t>
  </si>
  <si>
    <t>Number of loops</t>
  </si>
  <si>
    <t>Loop Variation Parameter</t>
  </si>
  <si>
    <t>Gas line Config</t>
  </si>
  <si>
    <t>Flow</t>
  </si>
  <si>
    <t>P1 Argon</t>
  </si>
  <si>
    <t>300 +/- 20%</t>
  </si>
  <si>
    <t>0.0 0.0 +/- 5%</t>
  </si>
  <si>
    <t>P2 Oxygen</t>
  </si>
  <si>
    <t>100 +/- 20%</t>
  </si>
  <si>
    <t>P3 Nitrogen</t>
  </si>
  <si>
    <t>P4 C4F8</t>
  </si>
  <si>
    <t>220.0 +/- 20%</t>
  </si>
  <si>
    <t>1.0 1.0 +/- 0%</t>
  </si>
  <si>
    <t>220.0 220 +/-20%</t>
  </si>
  <si>
    <t>1.0 1.0 +/-0%</t>
  </si>
  <si>
    <t>220.0 220 +/- 20%</t>
  </si>
  <si>
    <t>P5 SF6</t>
  </si>
  <si>
    <t>1.0 +/- 0%</t>
  </si>
  <si>
    <t>400.0 400 +/- 20%</t>
  </si>
  <si>
    <t>400 +/- 20%</t>
  </si>
  <si>
    <t>400.0 400.0+/- 20%</t>
  </si>
  <si>
    <t>400.0 400.0 +/- 20%</t>
  </si>
  <si>
    <t>S1 Oxygen</t>
  </si>
  <si>
    <t>S2 C4F8</t>
  </si>
  <si>
    <t>110.0 +/- 20%</t>
  </si>
  <si>
    <t>110.0 110 +/- 20%</t>
  </si>
  <si>
    <t>S3 SF6</t>
  </si>
  <si>
    <t>Batch 1 powerpoint link:</t>
  </si>
  <si>
    <t>DRIE High Aspect Ratio DOE slides.pptx</t>
  </si>
  <si>
    <t>HAR Bosch process papers:</t>
  </si>
  <si>
    <t>1Ultra_Deep_Reactive_Ion_Etching_of_High_Aspect-Ratio_and_Thick_Silicon_Using_a_Ramped-Parameter_Process2018.pdf</t>
  </si>
  <si>
    <t>2Very_High_aspect_Ratio_Deep_Reactive_lon_Etching_of_Sub_micrometer_Trenches_in_Silicon_2012.pdf</t>
  </si>
  <si>
    <t>3improvedHAR_hole_Bosch_2022.pdf</t>
  </si>
  <si>
    <t>Meeting 2/19 summary:</t>
  </si>
  <si>
    <t>We have run 2 wafers through the DRIE, and have 10 more wafers with the current pattern. We want to write a new mask and pattern new wafers with a new mask, so we have a two-prong plan:</t>
  </si>
  <si>
    <t>----------------------------------------------------------------------------------------------------------</t>
  </si>
  <si>
    <t>Current batch:</t>
  </si>
  <si>
    <t>Some of our wafers came out of the ICP-F cloudy, so we need to strip one of them in the EKC bath and make sure the cloudiness goes away. If it does, then we do not need to strip the rest of the cloudy wafers. If it is still cloudy, we might have bigger problems (micromasking), might not want to use the cloudy wafers. </t>
  </si>
  <si>
    <t>Before changing any recipe parameters, we are going to run the 3x loopset recipe we have been running, but push to the wafer limits. The first run, we can run with 300 loops on set 3 (1045 total loops). After that, take Dektak/Nanospec data, and then run just the last loopset (1 loop for sets 1 and 2) for 100 or 200 loops, depending on etch rate. We will continue taking the same wafer out and then running the last loopset on it until we have about a 900 um (0.9 mm!) trench. At that point, sacrifice the wafer and take SEM imaging.</t>
  </si>
  <si>
    <t>For future SEM imaging, in order to not mess up the features during cleaving, make the diamond scribe mark on the backside of the wafer. This mark should also be approaching the trenches from the 5 um side, not the 500 um side.</t>
  </si>
  <si>
    <t>For the next 9 wafers, we are going to experiment with photoresist backing. We need to find the specific recipe for thickness and bake time, but the bake time is supposedly pretty short (talk to Jean).</t>
  </si>
  <si>
    <t>As we finish out this batch, we can use a combination of trial and error and DOE to create and optimize a new recipe, but we will probably keep 3 loop sets.</t>
  </si>
  <si>
    <t>--------------------------------------------------------------------------------------------------------------------------------------</t>
  </si>
  <si>
    <t>Future batches:</t>
  </si>
  <si>
    <t>We probably want to write a new mask with many 3 um or 5 um trenches, spaced apart by ~ 50 um. I was thinking about having wide trenches that are easy to cleave, but let me know if this has drawbacks. Using small trenches will maximize the aspect ratio, and the etches will probably not be deep enough to where backside protection is necessary.</t>
  </si>
  <si>
    <t>For measuring the width/depth of these trenches, we should use an optical microscope to measure the pitch (distance between trenches) and the trench width, and then use SEM imaging to get depth measurements, which we can scale by the pitch measurements. It is super important that all of these measurements are careful to get the best data.</t>
  </si>
  <si>
    <t>If we do not end up writing a new mask, future batches will need to have backside protection. While photoresist can work, it is more effective to have SiO2 on the backside. We discussed putting 4 um of SiO2 on both sides in the PECVD2, rather than just the front as we are currently doing.</t>
  </si>
  <si>
    <t>To prevent resist reticulation going forward (likely the cause of the cloudiness), we should change the ICP-F recipe. While the current etch power/time works well for our mask, the wafers may be overheating. To prevent this, we should increase the pressure of our current recipe to 6 mTorr, and introduce loops so that the wafer can cool between etches. We can experiment with this, but a loop with 60 seconds of etching and 30 seconds of resting would work well. By keeping the wafer on the chuck, we can prevent inconsistencies that may occur with loading the wafer multiple times.</t>
  </si>
  <si>
    <t>-----------------------------------------------------------------------------------------------------------------------------------------</t>
  </si>
  <si>
    <t>The data for the ICP-F runs we have been doing can help us in a few ways. We can investigate the He flow rate to see if wafers with cloudiness have higher flow rates, potentially indicating a poor clamp and/or poor cooling. More interestingly, we can look at other data to see if there is a clear point where we went from etching SiO2 to etching Si. We expect to see differences in variables such as reflected power, as C4F8 may go from being an etch gas to depositing a polymer.</t>
  </si>
  <si>
    <t>I am going to collect the dates/times of our previous ICP-F runs, so that Grace can find the data for each wafer. I will put these in a spreadsheet so they are easy to read/find.</t>
  </si>
  <si>
    <t>Finally, we talked about the importance of taking data during the etches. While data is stored and can be looked at retroactively, it is much easier and more intuitive to take data while the etch is running. This allows us to spot trends and draw conclusions about what is going on in the process. If we do not have time to take data during the etches, especially for long DRIE runs, we should set up graphs for certain parameters of interest. This can allow us to still see the data in an intuitive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</si>
</sst>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19" x14ac:knownFonts="1">
    <font>
      <sz val="11"/>
      <color theme="1"/>
      <name val="Calibri"/>
      <family val="2"/>
      <scheme val="minor"/>
    </font>
    <font>
      <b/>
      <sz val="14"/>
      <color theme="1"/>
      <name val="Calibri"/>
      <family val="2"/>
      <scheme val="minor"/>
    </font>
    <font>
      <sz val="14"/>
      <color theme="1"/>
      <name val="Calibri"/>
      <family val="2"/>
      <scheme val="minor"/>
    </font>
    <font>
      <sz val="22"/>
      <color theme="1"/>
      <name val="Calibri"/>
      <family val="2"/>
      <scheme val="minor"/>
    </font>
    <font>
      <sz val="14"/>
      <color rgb="FF000000"/>
      <name val="Calibri"/>
      <family val="2"/>
    </font>
    <font>
      <b/>
      <i/>
      <sz val="10"/>
      <color theme="1"/>
      <name val="Arial"/>
      <family val="2"/>
    </font>
    <font>
      <b/>
      <sz val="10"/>
      <color theme="1"/>
      <name val="Arial"/>
      <family val="2"/>
    </font>
    <font>
      <sz val="10"/>
      <color theme="1"/>
      <name val="Arial"/>
      <family val="2"/>
    </font>
    <font>
      <b/>
      <sz val="10"/>
      <color rgb="FFFFFFFF"/>
      <name val="Arial"/>
      <family val="2"/>
    </font>
    <font>
      <sz val="14"/>
      <name val="Calibri"/>
      <family val="2"/>
      <scheme val="minor"/>
    </font>
    <font>
      <sz val="11"/>
      <color rgb="FFFF0000"/>
      <name val="Calibri"/>
      <family val="2"/>
      <scheme val="minor"/>
    </font>
    <font>
      <u/>
      <sz val="11"/>
      <color theme="10"/>
      <name val="Calibri"/>
      <family val="2"/>
      <scheme val="minor"/>
    </font>
    <font>
      <b/>
      <sz val="20"/>
      <color theme="1"/>
      <name val="Calibri"/>
      <family val="2"/>
      <scheme val="minor"/>
    </font>
    <font>
      <sz val="9"/>
      <color theme="1"/>
      <name val="Times New Roman"/>
      <family val="1"/>
    </font>
    <font>
      <b/>
      <sz val="11"/>
      <color theme="1"/>
      <name val="Calibri"/>
      <family val="2"/>
      <scheme val="minor"/>
    </font>
    <font>
      <sz val="14"/>
      <color rgb="FFFF0000"/>
      <name val="Calibri"/>
      <family val="2"/>
      <scheme val="minor"/>
    </font>
    <font>
      <sz val="14"/>
      <color rgb="FF000000"/>
      <name val="Calibri"/>
      <scheme val="minor"/>
    </font>
    <font>
      <sz val="14"/>
      <color rgb="FFC00000"/>
      <name val="Calibri"/>
      <scheme val="minor"/>
    </font>
    <font>
      <sz val="14"/>
      <color theme="1"/>
      <name val="Calibri"/>
      <scheme val="minor"/>
    </font>
  </fonts>
  <fills count="23">
    <fill>
      <patternFill patternType="none"/>
    </fill>
    <fill>
      <patternFill patternType="gray125"/>
    </fill>
    <fill>
      <patternFill patternType="solid">
        <fgColor rgb="FFFFFF00"/>
        <bgColor indexed="64"/>
      </patternFill>
    </fill>
    <fill>
      <patternFill patternType="solid">
        <fgColor rgb="FF000000"/>
        <bgColor indexed="64"/>
      </patternFill>
    </fill>
    <fill>
      <patternFill patternType="solid">
        <fgColor rgb="FF666666"/>
        <bgColor indexed="64"/>
      </patternFill>
    </fill>
    <fill>
      <patternFill patternType="solid">
        <fgColor rgb="FFB7B7B7"/>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2" tint="-0.499984740745262"/>
        <bgColor indexed="64"/>
      </patternFill>
    </fill>
    <fill>
      <patternFill patternType="solid">
        <fgColor theme="7"/>
        <bgColor indexed="64"/>
      </patternFill>
    </fill>
    <fill>
      <patternFill patternType="solid">
        <fgColor theme="2"/>
        <bgColor indexed="64"/>
      </patternFill>
    </fill>
    <fill>
      <patternFill patternType="solid">
        <fgColor theme="2" tint="-0.249977111117893"/>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4" tint="0.59999389629810485"/>
        <bgColor indexed="64"/>
      </patternFill>
    </fill>
    <fill>
      <patternFill patternType="solid">
        <fgColor rgb="FFAFFFFD"/>
        <bgColor indexed="64"/>
      </patternFill>
    </fill>
    <fill>
      <patternFill patternType="solid">
        <fgColor theme="5" tint="0.79998168889431442"/>
        <bgColor indexed="64"/>
      </patternFill>
    </fill>
    <fill>
      <patternFill patternType="solid">
        <fgColor theme="1"/>
        <bgColor indexed="64"/>
      </patternFill>
    </fill>
    <fill>
      <patternFill patternType="solid">
        <fgColor theme="8"/>
        <bgColor indexed="64"/>
      </patternFill>
    </fill>
    <fill>
      <patternFill patternType="solid">
        <fgColor theme="7"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999999"/>
      </right>
      <top style="thin">
        <color rgb="FF000000"/>
      </top>
      <bottom style="thin">
        <color rgb="FF999999"/>
      </bottom>
      <diagonal/>
    </border>
    <border>
      <left style="thin">
        <color rgb="FFCCCCCC"/>
      </left>
      <right style="thin">
        <color rgb="FF999999"/>
      </right>
      <top style="thin">
        <color rgb="FF000000"/>
      </top>
      <bottom style="thin">
        <color rgb="FF999999"/>
      </bottom>
      <diagonal/>
    </border>
    <border>
      <left style="thin">
        <color rgb="FFCCCCCC"/>
      </left>
      <right style="thin">
        <color rgb="FFCCCCCC"/>
      </right>
      <top style="thin">
        <color rgb="FF000000"/>
      </top>
      <bottom style="thin">
        <color rgb="FF999999"/>
      </bottom>
      <diagonal/>
    </border>
    <border>
      <left style="thin">
        <color rgb="FFCCCCCC"/>
      </left>
      <right/>
      <top style="thin">
        <color rgb="FF000000"/>
      </top>
      <bottom style="thin">
        <color rgb="FF999999"/>
      </bottom>
      <diagonal/>
    </border>
    <border>
      <left/>
      <right style="thin">
        <color rgb="FF000000"/>
      </right>
      <top style="thin">
        <color rgb="FF000000"/>
      </top>
      <bottom style="thin">
        <color rgb="FF999999"/>
      </bottom>
      <diagonal/>
    </border>
    <border>
      <left/>
      <right/>
      <top style="thin">
        <color rgb="FF000000"/>
      </top>
      <bottom style="thin">
        <color rgb="FF999999"/>
      </bottom>
      <diagonal/>
    </border>
    <border>
      <left/>
      <right style="thin">
        <color rgb="FFCCCCCC"/>
      </right>
      <top style="thin">
        <color rgb="FF000000"/>
      </top>
      <bottom style="thin">
        <color rgb="FF999999"/>
      </bottom>
      <diagonal/>
    </border>
    <border>
      <left style="thin">
        <color rgb="FF000000"/>
      </left>
      <right style="thin">
        <color rgb="FF999999"/>
      </right>
      <top style="thin">
        <color rgb="FFCCCCCC"/>
      </top>
      <bottom style="thin">
        <color rgb="FF000000"/>
      </bottom>
      <diagonal/>
    </border>
    <border>
      <left style="thin">
        <color rgb="FFCCCCCC"/>
      </left>
      <right style="thin">
        <color rgb="FF999999"/>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666666"/>
      </right>
      <top style="thin">
        <color rgb="FFCCCCCC"/>
      </top>
      <bottom style="thin">
        <color rgb="FF000000"/>
      </bottom>
      <diagonal/>
    </border>
    <border>
      <left style="thin">
        <color rgb="FF000000"/>
      </left>
      <right/>
      <top style="thin">
        <color rgb="FF000000"/>
      </top>
      <bottom style="thin">
        <color rgb="FF999999"/>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CCCCCC"/>
      </right>
      <top/>
      <bottom/>
      <diagonal/>
    </border>
    <border>
      <left/>
      <right style="thin">
        <color indexed="64"/>
      </right>
      <top style="thin">
        <color rgb="FF000000"/>
      </top>
      <bottom/>
      <diagonal/>
    </border>
    <border>
      <left/>
      <right style="thin">
        <color indexed="64"/>
      </right>
      <top/>
      <bottom/>
      <diagonal/>
    </border>
    <border>
      <left/>
      <right style="thin">
        <color rgb="FF999999"/>
      </right>
      <top style="thin">
        <color rgb="FF000000"/>
      </top>
      <bottom style="thin">
        <color rgb="FF999999"/>
      </bottom>
      <diagonal/>
    </border>
    <border>
      <left/>
      <right style="thin">
        <color rgb="FFCCCCCC"/>
      </right>
      <top style="thin">
        <color rgb="FFCCCCCC"/>
      </top>
      <bottom style="thin">
        <color rgb="FF000000"/>
      </bottom>
      <diagonal/>
    </border>
    <border>
      <left/>
      <right style="thin">
        <color indexed="64"/>
      </right>
      <top style="thin">
        <color rgb="FF000000"/>
      </top>
      <bottom style="thin">
        <color rgb="FF999999"/>
      </bottom>
      <diagonal/>
    </border>
    <border>
      <left style="thin">
        <color rgb="FFCCCCCC"/>
      </left>
      <right style="thin">
        <color indexed="64"/>
      </right>
      <top style="thin">
        <color rgb="FFCCCCCC"/>
      </top>
      <bottom style="thin">
        <color rgb="FF000000"/>
      </bottom>
      <diagonal/>
    </border>
    <border>
      <left style="thin">
        <color rgb="FFCCCCCC"/>
      </left>
      <right style="thin">
        <color indexed="64"/>
      </right>
      <top style="thin">
        <color rgb="FF000000"/>
      </top>
      <bottom style="thin">
        <color rgb="FF999999"/>
      </bottom>
      <diagonal/>
    </border>
    <border>
      <left/>
      <right style="thin">
        <color rgb="FFCCCCCC"/>
      </right>
      <top style="thin">
        <color rgb="FF000000"/>
      </top>
      <bottom style="thin">
        <color rgb="FF666666"/>
      </bottom>
      <diagonal/>
    </border>
    <border>
      <left/>
      <right style="thin">
        <color indexed="64"/>
      </right>
      <top style="thin">
        <color rgb="FF666666"/>
      </top>
      <bottom style="thin">
        <color rgb="FF000000"/>
      </bottom>
      <diagonal/>
    </border>
    <border>
      <left/>
      <right style="thin">
        <color indexed="64"/>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rgb="FFCCCCCC"/>
      </left>
      <right/>
      <top style="thin">
        <color rgb="FFCCCCCC"/>
      </top>
      <bottom style="thin">
        <color rgb="FF000000"/>
      </bottom>
      <diagonal/>
    </border>
    <border>
      <left/>
      <right style="thin">
        <color rgb="FF999999"/>
      </right>
      <top style="thin">
        <color rgb="FFCCCCCC"/>
      </top>
      <bottom style="thin">
        <color rgb="FF000000"/>
      </bottom>
      <diagonal/>
    </border>
    <border>
      <left style="thin">
        <color rgb="FF000000"/>
      </left>
      <right/>
      <top/>
      <bottom style="thin">
        <color rgb="FFCCCCCC"/>
      </bottom>
      <diagonal/>
    </border>
    <border>
      <left/>
      <right/>
      <top/>
      <bottom style="thin">
        <color rgb="FFCCCCCC"/>
      </bottom>
      <diagonal/>
    </border>
    <border>
      <left/>
      <right style="thin">
        <color indexed="64"/>
      </right>
      <top/>
      <bottom style="thin">
        <color rgb="FFCCCCCC"/>
      </bottom>
      <diagonal/>
    </border>
    <border>
      <left/>
      <right/>
      <top style="thin">
        <color rgb="FF000000"/>
      </top>
      <bottom/>
      <diagonal/>
    </border>
    <border>
      <left style="thin">
        <color rgb="FFCCCCCC"/>
      </left>
      <right style="thin">
        <color rgb="FF000000"/>
      </right>
      <top style="thin">
        <color rgb="FFCCCCCC"/>
      </top>
      <bottom/>
      <diagonal/>
    </border>
  </borders>
  <cellStyleXfs count="2">
    <xf numFmtId="0" fontId="0" fillId="0" borderId="0"/>
    <xf numFmtId="0" fontId="11" fillId="0" borderId="0" applyNumberFormat="0" applyFill="0" applyBorder="0" applyAlignment="0" applyProtection="0"/>
  </cellStyleXfs>
  <cellXfs count="140">
    <xf numFmtId="0" fontId="0" fillId="0" borderId="0" xfId="0"/>
    <xf numFmtId="0" fontId="0" fillId="0" borderId="0" xfId="0" applyAlignment="1">
      <alignment wrapText="1"/>
    </xf>
    <xf numFmtId="0" fontId="1" fillId="2" borderId="1" xfId="0" applyFont="1" applyFill="1" applyBorder="1" applyAlignment="1">
      <alignment wrapText="1"/>
    </xf>
    <xf numFmtId="0" fontId="2" fillId="0" borderId="1" xfId="0" applyFont="1" applyBorder="1" applyAlignment="1">
      <alignment wrapText="1"/>
    </xf>
    <xf numFmtId="0" fontId="3" fillId="0" borderId="0" xfId="0" applyFont="1"/>
    <xf numFmtId="0" fontId="2" fillId="0" borderId="0" xfId="0" applyFont="1"/>
    <xf numFmtId="0" fontId="2" fillId="0" borderId="1" xfId="0" applyFont="1" applyBorder="1" applyAlignment="1">
      <alignment vertical="top" wrapText="1"/>
    </xf>
    <xf numFmtId="0" fontId="2" fillId="0" borderId="1" xfId="0" applyFont="1" applyBorder="1"/>
    <xf numFmtId="0" fontId="5" fillId="0" borderId="2" xfId="0" applyFont="1" applyBorder="1" applyAlignment="1">
      <alignment readingOrder="1"/>
    </xf>
    <xf numFmtId="0" fontId="6" fillId="0" borderId="3" xfId="0" applyFont="1" applyBorder="1" applyAlignment="1">
      <alignment readingOrder="1"/>
    </xf>
    <xf numFmtId="0" fontId="7" fillId="0" borderId="4" xfId="0" applyFont="1" applyBorder="1" applyAlignment="1">
      <alignment readingOrder="1"/>
    </xf>
    <xf numFmtId="0" fontId="6" fillId="0" borderId="9" xfId="0" applyFont="1" applyBorder="1" applyAlignment="1">
      <alignment readingOrder="1"/>
    </xf>
    <xf numFmtId="0" fontId="6" fillId="0" borderId="10" xfId="0" applyFont="1" applyBorder="1" applyAlignment="1">
      <alignment readingOrder="1"/>
    </xf>
    <xf numFmtId="0" fontId="6" fillId="0" borderId="11" xfId="0" applyFont="1" applyBorder="1" applyAlignment="1">
      <alignment readingOrder="1"/>
    </xf>
    <xf numFmtId="0" fontId="6" fillId="0" borderId="12" xfId="0" applyFont="1" applyBorder="1" applyAlignment="1">
      <alignment wrapText="1" readingOrder="1"/>
    </xf>
    <xf numFmtId="0" fontId="6" fillId="0" borderId="10" xfId="0" applyFont="1" applyBorder="1" applyAlignment="1">
      <alignment wrapText="1" readingOrder="1"/>
    </xf>
    <xf numFmtId="0" fontId="6" fillId="0" borderId="13" xfId="0" applyFont="1" applyBorder="1" applyAlignment="1">
      <alignment readingOrder="1"/>
    </xf>
    <xf numFmtId="0" fontId="6" fillId="0" borderId="12" xfId="0" applyFont="1" applyBorder="1" applyAlignment="1">
      <alignment readingOrder="1"/>
    </xf>
    <xf numFmtId="164" fontId="0" fillId="0" borderId="0" xfId="0" applyNumberFormat="1"/>
    <xf numFmtId="165" fontId="0" fillId="0" borderId="0" xfId="0" applyNumberFormat="1"/>
    <xf numFmtId="0" fontId="0" fillId="6" borderId="0" xfId="0" applyFill="1"/>
    <xf numFmtId="0" fontId="6" fillId="0" borderId="5" xfId="0" applyFont="1" applyBorder="1" applyAlignment="1">
      <alignment readingOrder="1"/>
    </xf>
    <xf numFmtId="0" fontId="6" fillId="0" borderId="7" xfId="0" applyFont="1" applyBorder="1" applyAlignment="1">
      <alignment readingOrder="1"/>
    </xf>
    <xf numFmtId="0" fontId="6" fillId="0" borderId="6" xfId="0" applyFont="1" applyBorder="1" applyAlignment="1">
      <alignment readingOrder="1"/>
    </xf>
    <xf numFmtId="0" fontId="8" fillId="3" borderId="5" xfId="0" applyFont="1" applyFill="1" applyBorder="1" applyAlignment="1">
      <alignment readingOrder="1"/>
    </xf>
    <xf numFmtId="0" fontId="8" fillId="3" borderId="7" xfId="0" applyFont="1" applyFill="1" applyBorder="1" applyAlignment="1">
      <alignment readingOrder="1"/>
    </xf>
    <xf numFmtId="0" fontId="8" fillId="3" borderId="6" xfId="0" applyFont="1" applyFill="1" applyBorder="1" applyAlignment="1">
      <alignment readingOrder="1"/>
    </xf>
    <xf numFmtId="2" fontId="0" fillId="0" borderId="0" xfId="0" applyNumberFormat="1"/>
    <xf numFmtId="1" fontId="0" fillId="0" borderId="0" xfId="0" applyNumberFormat="1"/>
    <xf numFmtId="0" fontId="2" fillId="7" borderId="1" xfId="0" applyFont="1" applyFill="1" applyBorder="1" applyAlignment="1">
      <alignment wrapText="1"/>
    </xf>
    <xf numFmtId="0" fontId="0" fillId="0" borderId="15" xfId="0" applyBorder="1" applyAlignment="1">
      <alignment horizontal="center" vertical="center"/>
    </xf>
    <xf numFmtId="0" fontId="2" fillId="0" borderId="1" xfId="0" applyFont="1" applyBorder="1" applyAlignment="1">
      <alignment vertical="top"/>
    </xf>
    <xf numFmtId="0" fontId="8" fillId="4" borderId="5" xfId="0" applyFont="1" applyFill="1" applyBorder="1" applyAlignment="1">
      <alignment readingOrder="1"/>
    </xf>
    <xf numFmtId="0" fontId="8" fillId="4" borderId="7" xfId="0" applyFont="1" applyFill="1" applyBorder="1" applyAlignment="1">
      <alignment readingOrder="1"/>
    </xf>
    <xf numFmtId="0" fontId="8" fillId="4" borderId="8" xfId="0" applyFont="1" applyFill="1" applyBorder="1" applyAlignment="1">
      <alignment readingOrder="1"/>
    </xf>
    <xf numFmtId="0" fontId="8" fillId="5" borderId="5" xfId="0" applyFont="1" applyFill="1" applyBorder="1" applyAlignment="1">
      <alignment readingOrder="1"/>
    </xf>
    <xf numFmtId="0" fontId="8" fillId="5" borderId="7" xfId="0" applyFont="1" applyFill="1" applyBorder="1" applyAlignment="1">
      <alignment readingOrder="1"/>
    </xf>
    <xf numFmtId="0" fontId="8" fillId="5" borderId="6" xfId="0" applyFont="1" applyFill="1" applyBorder="1" applyAlignment="1">
      <alignment readingOrder="1"/>
    </xf>
    <xf numFmtId="0" fontId="8" fillId="3" borderId="7" xfId="0" applyFont="1" applyFill="1" applyBorder="1" applyAlignment="1">
      <alignment horizontal="center" readingOrder="1"/>
    </xf>
    <xf numFmtId="0" fontId="6" fillId="0" borderId="0" xfId="0" applyFont="1" applyAlignment="1">
      <alignment readingOrder="1"/>
    </xf>
    <xf numFmtId="0" fontId="8" fillId="3" borderId="14" xfId="0" applyFont="1" applyFill="1" applyBorder="1" applyAlignment="1">
      <alignment horizontal="left" readingOrder="1"/>
    </xf>
    <xf numFmtId="0" fontId="0" fillId="0" borderId="18" xfId="0" applyBorder="1"/>
    <xf numFmtId="0" fontId="0" fillId="0" borderId="19" xfId="0" applyBorder="1"/>
    <xf numFmtId="14" fontId="0" fillId="0" borderId="19" xfId="0" applyNumberFormat="1" applyBorder="1"/>
    <xf numFmtId="0" fontId="0" fillId="6" borderId="19" xfId="0" applyFill="1" applyBorder="1"/>
    <xf numFmtId="0" fontId="8" fillId="3" borderId="22" xfId="0" applyFont="1" applyFill="1" applyBorder="1" applyAlignment="1">
      <alignment horizontal="center" readingOrder="1"/>
    </xf>
    <xf numFmtId="0" fontId="6" fillId="0" borderId="23" xfId="0" applyFont="1" applyBorder="1" applyAlignment="1">
      <alignment readingOrder="1"/>
    </xf>
    <xf numFmtId="0" fontId="9" fillId="0" borderId="1" xfId="0" applyFont="1" applyBorder="1" applyAlignment="1">
      <alignment wrapText="1"/>
    </xf>
    <xf numFmtId="0" fontId="0" fillId="0" borderId="0" xfId="0" quotePrefix="1"/>
    <xf numFmtId="0" fontId="0" fillId="9" borderId="0" xfId="0" applyFill="1"/>
    <xf numFmtId="1" fontId="0" fillId="11" borderId="0" xfId="0" applyNumberFormat="1" applyFill="1"/>
    <xf numFmtId="2" fontId="0" fillId="11" borderId="0" xfId="0" applyNumberFormat="1" applyFill="1"/>
    <xf numFmtId="0" fontId="7" fillId="0" borderId="0" xfId="0" applyFont="1" applyAlignment="1">
      <alignment readingOrder="1"/>
    </xf>
    <xf numFmtId="0" fontId="0" fillId="11" borderId="0" xfId="0" applyFill="1"/>
    <xf numFmtId="0" fontId="10" fillId="0" borderId="0" xfId="0" applyFont="1"/>
    <xf numFmtId="0" fontId="10" fillId="0" borderId="18" xfId="0" applyFont="1" applyBorder="1"/>
    <xf numFmtId="0" fontId="10" fillId="0" borderId="19" xfId="0" applyFont="1" applyBorder="1"/>
    <xf numFmtId="0" fontId="4" fillId="0" borderId="1" xfId="0" applyFont="1" applyBorder="1" applyAlignment="1">
      <alignment wrapText="1"/>
    </xf>
    <xf numFmtId="0" fontId="8" fillId="10" borderId="7" xfId="0" applyFont="1" applyFill="1" applyBorder="1" applyAlignment="1">
      <alignment readingOrder="1"/>
    </xf>
    <xf numFmtId="0" fontId="8" fillId="10" borderId="0" xfId="0" applyFont="1" applyFill="1" applyAlignment="1">
      <alignment readingOrder="1"/>
    </xf>
    <xf numFmtId="0" fontId="7" fillId="10" borderId="25" xfId="0" applyFont="1" applyFill="1" applyBorder="1" applyAlignment="1">
      <alignment readingOrder="1"/>
    </xf>
    <xf numFmtId="0" fontId="6" fillId="0" borderId="20" xfId="0" applyFont="1" applyBorder="1" applyAlignment="1">
      <alignment readingOrder="1"/>
    </xf>
    <xf numFmtId="0" fontId="6" fillId="0" borderId="24" xfId="0" applyFont="1" applyBorder="1" applyAlignment="1">
      <alignment readingOrder="1"/>
    </xf>
    <xf numFmtId="0" fontId="7" fillId="0" borderId="27" xfId="0" applyFont="1" applyBorder="1" applyAlignment="1">
      <alignment readingOrder="1"/>
    </xf>
    <xf numFmtId="0" fontId="7" fillId="0" borderId="26" xfId="0" applyFont="1" applyBorder="1" applyAlignment="1">
      <alignment readingOrder="1"/>
    </xf>
    <xf numFmtId="0" fontId="7" fillId="0" borderId="21" xfId="0" applyFont="1" applyBorder="1" applyAlignment="1">
      <alignment wrapText="1" readingOrder="1"/>
    </xf>
    <xf numFmtId="0" fontId="7" fillId="0" borderId="11" xfId="0" applyFont="1" applyBorder="1" applyAlignment="1">
      <alignment readingOrder="1"/>
    </xf>
    <xf numFmtId="0" fontId="0" fillId="0" borderId="28" xfId="0" applyBorder="1" applyAlignment="1">
      <alignment horizontal="center" vertical="center"/>
    </xf>
    <xf numFmtId="0" fontId="0" fillId="0" borderId="1" xfId="0" applyBorder="1"/>
    <xf numFmtId="0" fontId="0" fillId="0" borderId="15" xfId="0" applyBorder="1" applyAlignment="1">
      <alignment vertical="center"/>
    </xf>
    <xf numFmtId="0" fontId="0" fillId="0" borderId="30" xfId="0" applyBorder="1" applyAlignment="1">
      <alignment vertical="center"/>
    </xf>
    <xf numFmtId="0" fontId="0" fillId="0" borderId="28" xfId="0" applyBorder="1" applyAlignment="1">
      <alignment vertical="center"/>
    </xf>
    <xf numFmtId="0" fontId="0" fillId="0" borderId="1" xfId="0" applyBorder="1" applyAlignment="1">
      <alignment vertical="center"/>
    </xf>
    <xf numFmtId="0" fontId="0" fillId="0" borderId="29" xfId="0" applyBorder="1" applyAlignment="1">
      <alignment vertical="center"/>
    </xf>
    <xf numFmtId="0" fontId="0" fillId="0" borderId="31" xfId="0" applyBorder="1" applyAlignment="1">
      <alignment vertical="center"/>
    </xf>
    <xf numFmtId="0" fontId="0" fillId="6" borderId="15" xfId="0" applyFill="1" applyBorder="1" applyAlignment="1">
      <alignment horizontal="center" vertical="center"/>
    </xf>
    <xf numFmtId="1" fontId="0" fillId="12" borderId="0" xfId="0" applyNumberFormat="1" applyFill="1"/>
    <xf numFmtId="0" fontId="10" fillId="12" borderId="0" xfId="0" applyFont="1" applyFill="1"/>
    <xf numFmtId="0" fontId="10" fillId="12" borderId="19" xfId="0" applyFont="1" applyFill="1" applyBorder="1"/>
    <xf numFmtId="164" fontId="0" fillId="12" borderId="0" xfId="0" applyNumberFormat="1" applyFill="1"/>
    <xf numFmtId="2" fontId="0" fillId="12" borderId="0" xfId="0" applyNumberFormat="1" applyFill="1"/>
    <xf numFmtId="0" fontId="0" fillId="12" borderId="0" xfId="0" applyFill="1"/>
    <xf numFmtId="0" fontId="0" fillId="12" borderId="19" xfId="0" applyFill="1" applyBorder="1"/>
    <xf numFmtId="14" fontId="0" fillId="12" borderId="19" xfId="0" applyNumberFormat="1" applyFill="1" applyBorder="1"/>
    <xf numFmtId="0" fontId="0" fillId="0" borderId="1" xfId="0" applyBorder="1" applyAlignment="1">
      <alignment horizontal="center" vertical="center"/>
    </xf>
    <xf numFmtId="0" fontId="0" fillId="0" borderId="32" xfId="0" applyBorder="1"/>
    <xf numFmtId="0" fontId="0" fillId="0" borderId="15" xfId="0" applyBorder="1"/>
    <xf numFmtId="164" fontId="0" fillId="0" borderId="1" xfId="0" applyNumberFormat="1" applyBorder="1"/>
    <xf numFmtId="164" fontId="0" fillId="0" borderId="32" xfId="0" applyNumberFormat="1" applyBorder="1"/>
    <xf numFmtId="0" fontId="0" fillId="0" borderId="1" xfId="0" applyBorder="1" applyAlignment="1">
      <alignment wrapText="1"/>
    </xf>
    <xf numFmtId="0" fontId="0" fillId="0" borderId="32" xfId="0" applyBorder="1" applyAlignment="1">
      <alignment wrapText="1"/>
    </xf>
    <xf numFmtId="0" fontId="0" fillId="0" borderId="15" xfId="0" applyBorder="1" applyAlignment="1">
      <alignment wrapText="1"/>
    </xf>
    <xf numFmtId="0" fontId="0" fillId="13" borderId="1" xfId="0" applyFill="1" applyBorder="1"/>
    <xf numFmtId="0" fontId="0" fillId="13" borderId="32" xfId="0" applyFill="1" applyBorder="1"/>
    <xf numFmtId="0" fontId="0" fillId="14" borderId="0" xfId="0" applyFill="1"/>
    <xf numFmtId="0" fontId="10" fillId="6" borderId="0" xfId="0" applyFont="1" applyFill="1"/>
    <xf numFmtId="0" fontId="0" fillId="0" borderId="33" xfId="0" applyBorder="1"/>
    <xf numFmtId="0" fontId="0" fillId="6" borderId="28" xfId="0" applyFill="1" applyBorder="1" applyAlignment="1">
      <alignment horizontal="center" vertical="center"/>
    </xf>
    <xf numFmtId="0" fontId="0" fillId="0" borderId="34" xfId="0" applyBorder="1" applyAlignment="1">
      <alignment horizontal="center" vertical="center"/>
    </xf>
    <xf numFmtId="0" fontId="0" fillId="6" borderId="16" xfId="0" applyFill="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4" fontId="0" fillId="0" borderId="1" xfId="0" applyNumberFormat="1" applyBorder="1"/>
    <xf numFmtId="0" fontId="11" fillId="0" borderId="0" xfId="1"/>
    <xf numFmtId="0" fontId="12" fillId="0" borderId="0" xfId="0" applyFont="1"/>
    <xf numFmtId="0" fontId="0" fillId="15" borderId="0" xfId="0" applyFill="1"/>
    <xf numFmtId="0" fontId="0" fillId="16" borderId="0" xfId="0" applyFill="1"/>
    <xf numFmtId="0" fontId="0" fillId="17" borderId="0" xfId="0" applyFill="1"/>
    <xf numFmtId="14" fontId="0" fillId="0" borderId="35" xfId="0" applyNumberFormat="1" applyBorder="1"/>
    <xf numFmtId="0" fontId="0" fillId="0" borderId="35" xfId="0" applyBorder="1"/>
    <xf numFmtId="0" fontId="6" fillId="0" borderId="36" xfId="0" applyFont="1" applyBorder="1" applyAlignment="1">
      <alignment readingOrder="1"/>
    </xf>
    <xf numFmtId="0" fontId="6" fillId="0" borderId="1" xfId="0" applyFont="1" applyBorder="1" applyAlignment="1">
      <alignment readingOrder="1"/>
    </xf>
    <xf numFmtId="0" fontId="0" fillId="18" borderId="0" xfId="0" applyFill="1"/>
    <xf numFmtId="0" fontId="0" fillId="19" borderId="0" xfId="0" applyFill="1"/>
    <xf numFmtId="0" fontId="13" fillId="0" borderId="0" xfId="0" applyFont="1" applyAlignment="1">
      <alignment horizontal="center" vertical="center" wrapText="1"/>
    </xf>
    <xf numFmtId="0" fontId="15" fillId="0" borderId="1" xfId="0" applyFont="1" applyBorder="1" applyAlignment="1">
      <alignment vertical="top" wrapText="1"/>
    </xf>
    <xf numFmtId="0" fontId="15" fillId="0" borderId="1" xfId="0" applyFont="1" applyBorder="1" applyAlignment="1">
      <alignment wrapText="1"/>
    </xf>
    <xf numFmtId="0" fontId="6" fillId="0" borderId="37" xfId="0" applyFont="1" applyBorder="1" applyAlignment="1">
      <alignment readingOrder="1"/>
    </xf>
    <xf numFmtId="0" fontId="6" fillId="8" borderId="1" xfId="0" applyFont="1" applyFill="1" applyBorder="1" applyAlignment="1">
      <alignment readingOrder="1"/>
    </xf>
    <xf numFmtId="0" fontId="8" fillId="4" borderId="22" xfId="0" applyFont="1" applyFill="1" applyBorder="1" applyAlignment="1">
      <alignment readingOrder="1"/>
    </xf>
    <xf numFmtId="0" fontId="8" fillId="20" borderId="41" xfId="0" applyFont="1" applyFill="1" applyBorder="1" applyAlignment="1">
      <alignment readingOrder="1"/>
    </xf>
    <xf numFmtId="0" fontId="8" fillId="20" borderId="0" xfId="0" applyFont="1" applyFill="1" applyAlignment="1">
      <alignment readingOrder="1"/>
    </xf>
    <xf numFmtId="0" fontId="6" fillId="0" borderId="21" xfId="0" applyFont="1" applyBorder="1" applyAlignment="1">
      <alignment wrapText="1" readingOrder="1"/>
    </xf>
    <xf numFmtId="0" fontId="6" fillId="0" borderId="42" xfId="0" applyFont="1" applyBorder="1" applyAlignment="1">
      <alignment readingOrder="1"/>
    </xf>
    <xf numFmtId="2" fontId="0" fillId="0" borderId="19" xfId="0" applyNumberFormat="1" applyBorder="1"/>
    <xf numFmtId="0" fontId="7" fillId="20" borderId="41" xfId="0" applyFont="1" applyFill="1" applyBorder="1" applyAlignment="1">
      <alignment readingOrder="1"/>
    </xf>
    <xf numFmtId="0" fontId="6" fillId="0" borderId="19" xfId="0" applyFont="1" applyBorder="1" applyAlignment="1">
      <alignment readingOrder="1"/>
    </xf>
    <xf numFmtId="0" fontId="6" fillId="21" borderId="0" xfId="0" applyFont="1" applyFill="1" applyAlignment="1">
      <alignment readingOrder="1"/>
    </xf>
    <xf numFmtId="0" fontId="6" fillId="21" borderId="19" xfId="0" applyFont="1" applyFill="1" applyBorder="1" applyAlignment="1">
      <alignment readingOrder="1"/>
    </xf>
    <xf numFmtId="0" fontId="14" fillId="0" borderId="19" xfId="0" applyFont="1" applyBorder="1"/>
    <xf numFmtId="166" fontId="0" fillId="0" borderId="19" xfId="0" applyNumberFormat="1" applyBorder="1"/>
    <xf numFmtId="0" fontId="0" fillId="22" borderId="0" xfId="0" applyFill="1"/>
    <xf numFmtId="0" fontId="15" fillId="0" borderId="1" xfId="0" applyFont="1" applyBorder="1"/>
    <xf numFmtId="0" fontId="18" fillId="0" borderId="1" xfId="0" applyFont="1" applyBorder="1" applyAlignment="1">
      <alignment wrapText="1"/>
    </xf>
    <xf numFmtId="0" fontId="6" fillId="8" borderId="38" xfId="0" applyFont="1" applyFill="1" applyBorder="1" applyAlignment="1">
      <alignment readingOrder="1"/>
    </xf>
    <xf numFmtId="0" fontId="6" fillId="8" borderId="39" xfId="0" applyFont="1" applyFill="1" applyBorder="1" applyAlignment="1">
      <alignment readingOrder="1"/>
    </xf>
    <xf numFmtId="0" fontId="6" fillId="8" borderId="40" xfId="0" applyFont="1" applyFill="1" applyBorder="1" applyAlignment="1">
      <alignment readingOrder="1"/>
    </xf>
    <xf numFmtId="0" fontId="6" fillId="8" borderId="16" xfId="0" applyFont="1" applyFill="1" applyBorder="1" applyAlignment="1">
      <alignment readingOrder="1"/>
    </xf>
    <xf numFmtId="0" fontId="6" fillId="8" borderId="0" xfId="0" applyFont="1" applyFill="1" applyAlignment="1">
      <alignment readingOrder="1"/>
    </xf>
    <xf numFmtId="0" fontId="6" fillId="8" borderId="17" xfId="0" applyFont="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colors>
    <mruColors>
      <color rgb="FFAFF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337944</xdr:colOff>
      <xdr:row>0</xdr:row>
      <xdr:rowOff>142001</xdr:rowOff>
    </xdr:from>
    <xdr:to>
      <xdr:col>12</xdr:col>
      <xdr:colOff>386171</xdr:colOff>
      <xdr:row>13</xdr:row>
      <xdr:rowOff>79275</xdr:rowOff>
    </xdr:to>
    <xdr:pic>
      <xdr:nvPicPr>
        <xdr:cNvPr id="2" name="Picture 1">
          <a:extLst>
            <a:ext uri="{FF2B5EF4-FFF2-40B4-BE49-F238E27FC236}">
              <a16:creationId xmlns:a16="http://schemas.microsoft.com/office/drawing/2014/main" id="{786F736A-1C2C-0A2D-5749-F2936E3AB2C8}"/>
            </a:ext>
          </a:extLst>
        </xdr:cNvPr>
        <xdr:cNvPicPr>
          <a:picLocks noChangeAspect="1"/>
        </xdr:cNvPicPr>
      </xdr:nvPicPr>
      <xdr:blipFill>
        <a:blip xmlns:r="http://schemas.openxmlformats.org/officeDocument/2006/relationships" r:embed="rId1"/>
        <a:stretch>
          <a:fillRect/>
        </a:stretch>
      </xdr:blipFill>
      <xdr:spPr>
        <a:xfrm>
          <a:off x="4409526" y="142001"/>
          <a:ext cx="4347272" cy="23028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ck Deines" id="{003E6215-077B-4586-9C54-79AF2F746BE3}" userId="S::mdeines8@uw.edu::75f687f3-d103-4dd6-88cd-338774bc8a9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6-01-14T01:52:59.13" personId="{003E6215-077B-4586-9C54-79AF2F746BE3}" id="{D2B29DA9-4D8B-4F08-ADFF-1F115C7F85FE}">
    <text>Ask Grace about drop gauge approach</text>
  </threadedComment>
  <threadedComment ref="D8" dT="2026-01-14T01:51:40.75" personId="{003E6215-077B-4586-9C54-79AF2F746BE3}" id="{1117D501-34C2-4342-84E3-34504FAA70AF}">
    <text>Need to ask Jean about 1 um feature size resolution. May need to do AZ1512 --&gt; oxide --&gt;AZ10XT stack. Using new mask might not be reasonable</text>
  </threadedComment>
  <threadedComment ref="D12" dT="2026-01-14T01:53:42.21" personId="{003E6215-077B-4586-9C54-79AF2F746BE3}" id="{B805FFB4-7E5E-4471-9923-44D4F53E1E80}">
    <text>Talk to Jean, probably need do to exposure matrix</text>
  </threadedComment>
  <threadedComment ref="C16" dT="2026-01-14T01:54:17.85" personId="{003E6215-077B-4586-9C54-79AF2F746BE3}" id="{E941C4BE-65F9-4C29-82EC-7795BF3589B2}">
    <text>Talk to Grace, probably need 15 minute etch, 15 loops?</text>
  </threadedComment>
  <threadedComment ref="D18" dT="2026-01-14T01:55:25.95" personId="{003E6215-077B-4586-9C54-79AF2F746BE3}" id="{5238D63D-D765-47C8-BDB1-E7DFD26AAFA3}">
    <text>Realistically 1 um trenches are probably too small but we’ll see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hyperlink" Target="https://uwnetid-my.sharepoint.com/:b:/g/personal/mmorgan3_uw_edu/EY965qSFlztOpKawm1FHCKUBLIoFLbUDIHg9KV_wtOUyig?e=yAygx0" TargetMode="External"/><Relationship Id="rId2" Type="http://schemas.openxmlformats.org/officeDocument/2006/relationships/hyperlink" Target="https://uwnetid-my.sharepoint.com/:b:/g/personal/mmorgan3_uw_edu/EVTppE8BCx1AtZbObOAiVisBk7rMyiPc4oet8l7ijQm0_w?e=EXatEF" TargetMode="External"/><Relationship Id="rId1" Type="http://schemas.openxmlformats.org/officeDocument/2006/relationships/hyperlink" Target="https://uwnetid.sharepoint.com/:p:/s/og_wnf/EQoJ0l9kG8FGpNU-rkDGDHQB9hFgXsYEPaeBwh4RvWEesQ?e=OQS7o5" TargetMode="External"/><Relationship Id="rId4" Type="http://schemas.openxmlformats.org/officeDocument/2006/relationships/hyperlink" Target="https://uwnetid-my.sharepoint.com/:b:/g/personal/mmorgan3_uw_edu/EbDyiDQZ-4xPmXH92dj0sH4BlrkxgBruOdHk6Prtv-3Ogw?e=acCDA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C1ED9-F6BD-42CF-9530-5BCDCB61B585}">
  <sheetPr>
    <pageSetUpPr fitToPage="1"/>
  </sheetPr>
  <dimension ref="A1:J26"/>
  <sheetViews>
    <sheetView topLeftCell="A17" zoomScale="66" workbookViewId="0">
      <selection activeCell="D7" sqref="D7"/>
    </sheetView>
  </sheetViews>
  <sheetFormatPr defaultRowHeight="14.4" x14ac:dyDescent="0.3"/>
  <cols>
    <col min="1" max="1" width="17" customWidth="1"/>
    <col min="2" max="2" width="13.5546875" customWidth="1"/>
    <col min="3" max="3" width="27.6640625" customWidth="1"/>
    <col min="4" max="4" width="61.33203125" style="1" customWidth="1"/>
    <col min="5" max="5" width="50.5546875" customWidth="1"/>
    <col min="10" max="17" width="17.88671875" bestFit="1" customWidth="1"/>
  </cols>
  <sheetData>
    <row r="1" spans="1:10" ht="53.4" customHeight="1" x14ac:dyDescent="0.55000000000000004">
      <c r="B1" s="4" t="s">
        <v>0</v>
      </c>
    </row>
    <row r="2" spans="1:10" ht="18" x14ac:dyDescent="0.35">
      <c r="A2" s="2" t="s">
        <v>1</v>
      </c>
      <c r="B2" s="2" t="s">
        <v>2</v>
      </c>
      <c r="C2" s="2" t="s">
        <v>3</v>
      </c>
      <c r="D2" s="2" t="s">
        <v>4</v>
      </c>
      <c r="E2" s="2" t="s">
        <v>5</v>
      </c>
    </row>
    <row r="3" spans="1:10" ht="18" x14ac:dyDescent="0.35">
      <c r="A3" s="3" t="s">
        <v>6</v>
      </c>
      <c r="B3" s="7" t="s">
        <v>7</v>
      </c>
      <c r="C3" s="68"/>
      <c r="D3" s="3" t="s">
        <v>8</v>
      </c>
      <c r="E3" s="68"/>
    </row>
    <row r="4" spans="1:10" ht="18" x14ac:dyDescent="0.35">
      <c r="A4" s="3" t="s">
        <v>9</v>
      </c>
      <c r="B4" s="3" t="s">
        <v>10</v>
      </c>
      <c r="C4" s="3" t="s">
        <v>11</v>
      </c>
      <c r="D4" s="3" t="s">
        <v>12</v>
      </c>
      <c r="E4" s="3" t="s">
        <v>13</v>
      </c>
    </row>
    <row r="5" spans="1:10" ht="18" x14ac:dyDescent="0.35">
      <c r="A5" s="3" t="s">
        <v>14</v>
      </c>
      <c r="B5" s="3" t="s">
        <v>15</v>
      </c>
      <c r="C5" s="3" t="s">
        <v>16</v>
      </c>
      <c r="D5" s="3" t="s">
        <v>17</v>
      </c>
      <c r="E5" s="3" t="s">
        <v>18</v>
      </c>
    </row>
    <row r="6" spans="1:10" ht="54" x14ac:dyDescent="0.35">
      <c r="A6" s="116" t="s">
        <v>19</v>
      </c>
      <c r="B6" s="132" t="s">
        <v>7</v>
      </c>
      <c r="C6" s="3"/>
      <c r="D6" s="133" t="s">
        <v>20</v>
      </c>
      <c r="E6" s="3" t="s">
        <v>21</v>
      </c>
    </row>
    <row r="7" spans="1:10" ht="18" x14ac:dyDescent="0.35">
      <c r="A7" s="3" t="s">
        <v>22</v>
      </c>
      <c r="B7" s="3" t="s">
        <v>10</v>
      </c>
      <c r="C7" s="3" t="s">
        <v>11</v>
      </c>
      <c r="D7" s="3" t="s">
        <v>23</v>
      </c>
      <c r="E7" s="3" t="s">
        <v>24</v>
      </c>
    </row>
    <row r="8" spans="1:10" ht="54" x14ac:dyDescent="0.35">
      <c r="A8" s="3" t="s">
        <v>25</v>
      </c>
      <c r="B8" s="3" t="s">
        <v>26</v>
      </c>
      <c r="C8" s="116" t="s">
        <v>27</v>
      </c>
      <c r="D8" s="116" t="s">
        <v>28</v>
      </c>
      <c r="E8" s="3" t="s">
        <v>29</v>
      </c>
    </row>
    <row r="9" spans="1:10" ht="54.6" customHeight="1" x14ac:dyDescent="0.35">
      <c r="A9" s="3" t="s">
        <v>30</v>
      </c>
      <c r="B9" s="3" t="s">
        <v>26</v>
      </c>
      <c r="C9" s="116" t="s">
        <v>27</v>
      </c>
      <c r="D9" s="3"/>
      <c r="E9" s="3" t="s">
        <v>31</v>
      </c>
    </row>
    <row r="10" spans="1:10" ht="98.1" customHeight="1" x14ac:dyDescent="0.35">
      <c r="A10" s="3" t="s">
        <v>32</v>
      </c>
      <c r="B10" s="3"/>
      <c r="C10" s="3" t="s">
        <v>33</v>
      </c>
      <c r="E10" s="3" t="s">
        <v>34</v>
      </c>
    </row>
    <row r="11" spans="1:10" ht="18" x14ac:dyDescent="0.35">
      <c r="A11" s="3" t="s">
        <v>35</v>
      </c>
      <c r="B11" s="7" t="s">
        <v>7</v>
      </c>
      <c r="C11" s="3"/>
      <c r="D11" s="3" t="s">
        <v>8</v>
      </c>
      <c r="E11" s="3" t="s">
        <v>36</v>
      </c>
    </row>
    <row r="12" spans="1:10" ht="36" x14ac:dyDescent="0.35">
      <c r="A12" s="3" t="s">
        <v>37</v>
      </c>
      <c r="B12" s="3" t="s">
        <v>38</v>
      </c>
      <c r="C12" s="3" t="s">
        <v>39</v>
      </c>
      <c r="D12" s="116" t="s">
        <v>40</v>
      </c>
      <c r="E12" s="3" t="s">
        <v>41</v>
      </c>
      <c r="J12" s="48" t="s">
        <v>42</v>
      </c>
    </row>
    <row r="13" spans="1:10" ht="54" x14ac:dyDescent="0.35">
      <c r="A13" s="3" t="s">
        <v>43</v>
      </c>
      <c r="B13" s="3" t="s">
        <v>44</v>
      </c>
      <c r="C13" s="3" t="s">
        <v>45</v>
      </c>
      <c r="D13" s="3"/>
      <c r="E13" s="3" t="s">
        <v>46</v>
      </c>
    </row>
    <row r="14" spans="1:10" ht="40.5" customHeight="1" x14ac:dyDescent="0.35">
      <c r="A14" s="3" t="s">
        <v>47</v>
      </c>
      <c r="B14" s="3" t="s">
        <v>48</v>
      </c>
      <c r="C14" s="3"/>
      <c r="D14" s="3" t="s">
        <v>49</v>
      </c>
      <c r="E14" s="3" t="s">
        <v>50</v>
      </c>
    </row>
    <row r="15" spans="1:10" ht="35.1" customHeight="1" x14ac:dyDescent="0.35">
      <c r="A15" s="3" t="s">
        <v>51</v>
      </c>
      <c r="B15" s="3" t="s">
        <v>10</v>
      </c>
      <c r="C15" s="3" t="s">
        <v>11</v>
      </c>
      <c r="D15" s="3"/>
      <c r="E15" s="3" t="s">
        <v>52</v>
      </c>
    </row>
    <row r="16" spans="1:10" s="5" customFormat="1" ht="36" x14ac:dyDescent="0.35">
      <c r="A16" s="6" t="s">
        <v>53</v>
      </c>
      <c r="B16" s="6" t="s">
        <v>54</v>
      </c>
      <c r="C16" s="115" t="s">
        <v>55</v>
      </c>
      <c r="D16" s="6"/>
      <c r="E16" s="6" t="s">
        <v>56</v>
      </c>
    </row>
    <row r="17" spans="1:5" ht="62.4" customHeight="1" x14ac:dyDescent="0.35">
      <c r="A17" s="3" t="s">
        <v>57</v>
      </c>
      <c r="B17" s="7" t="s">
        <v>7</v>
      </c>
      <c r="C17" s="3"/>
      <c r="D17" s="3" t="s">
        <v>8</v>
      </c>
      <c r="E17" s="3" t="s">
        <v>58</v>
      </c>
    </row>
    <row r="18" spans="1:5" ht="67.95" customHeight="1" x14ac:dyDescent="0.35">
      <c r="A18" s="3" t="s">
        <v>59</v>
      </c>
      <c r="B18" s="3" t="s">
        <v>60</v>
      </c>
      <c r="C18" s="3"/>
      <c r="D18" s="3" t="s">
        <v>61</v>
      </c>
      <c r="E18" s="7"/>
    </row>
    <row r="19" spans="1:5" ht="59.4" customHeight="1" x14ac:dyDescent="0.35">
      <c r="A19" s="7" t="s">
        <v>62</v>
      </c>
      <c r="B19" s="7" t="s">
        <v>63</v>
      </c>
      <c r="C19" s="115" t="s">
        <v>64</v>
      </c>
      <c r="D19" s="3" t="s">
        <v>65</v>
      </c>
      <c r="E19" s="3" t="s">
        <v>66</v>
      </c>
    </row>
    <row r="20" spans="1:5" ht="36" x14ac:dyDescent="0.35">
      <c r="A20" s="3" t="s">
        <v>67</v>
      </c>
      <c r="B20" s="7" t="s">
        <v>68</v>
      </c>
      <c r="C20" s="3" t="s">
        <v>69</v>
      </c>
      <c r="D20" s="3"/>
      <c r="E20" s="7"/>
    </row>
    <row r="21" spans="1:5" ht="36" x14ac:dyDescent="0.35">
      <c r="A21" s="3" t="s">
        <v>70</v>
      </c>
      <c r="B21" s="7" t="s">
        <v>7</v>
      </c>
      <c r="C21" s="3"/>
      <c r="D21" s="3" t="s">
        <v>8</v>
      </c>
      <c r="E21" s="3" t="s">
        <v>71</v>
      </c>
    </row>
    <row r="22" spans="1:5" s="5" customFormat="1" ht="54" x14ac:dyDescent="0.35">
      <c r="A22" s="7" t="s">
        <v>72</v>
      </c>
      <c r="B22" s="7" t="s">
        <v>63</v>
      </c>
      <c r="C22" s="7"/>
      <c r="D22" s="57" t="s">
        <v>65</v>
      </c>
      <c r="E22" s="7" t="s">
        <v>73</v>
      </c>
    </row>
    <row r="25" spans="1:5" x14ac:dyDescent="0.3">
      <c r="D25"/>
    </row>
    <row r="26" spans="1:5" x14ac:dyDescent="0.3">
      <c r="D26"/>
    </row>
  </sheetData>
  <pageMargins left="0.7" right="0.7" top="0.75" bottom="0.75" header="0.3" footer="0.3"/>
  <pageSetup scale="37"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125F-CD82-43A9-A4A7-D73BC508CE27}">
  <dimension ref="A1:BG44"/>
  <sheetViews>
    <sheetView zoomScale="82" workbookViewId="0">
      <pane xSplit="3" ySplit="2" topLeftCell="E25" activePane="bottomRight" state="frozen"/>
      <selection pane="topRight" activeCell="D1" sqref="D1"/>
      <selection pane="bottomLeft" activeCell="A3" sqref="A3"/>
      <selection pane="bottomRight" activeCell="K43" sqref="K43"/>
    </sheetView>
  </sheetViews>
  <sheetFormatPr defaultRowHeight="15" customHeight="1" x14ac:dyDescent="0.3"/>
  <cols>
    <col min="2" max="2" width="11.5546875" customWidth="1"/>
    <col min="3" max="3" width="21.5546875" bestFit="1" customWidth="1"/>
    <col min="4" max="7" width="8.88671875" customWidth="1"/>
    <col min="20" max="21" width="8.88671875" customWidth="1"/>
    <col min="24" max="24" width="8.88671875" customWidth="1"/>
    <col min="25" max="25" width="26.88671875" customWidth="1"/>
    <col min="30" max="37" width="8.88671875" customWidth="1"/>
    <col min="41" max="41" width="8.6640625" bestFit="1" customWidth="1"/>
    <col min="42" max="42" width="8.88671875" customWidth="1"/>
    <col min="47" max="47" width="12.6640625" customWidth="1"/>
    <col min="48" max="48" width="15.6640625" customWidth="1"/>
    <col min="49" max="51" width="16.33203125" customWidth="1"/>
    <col min="52" max="52" width="29.33203125" customWidth="1"/>
    <col min="53" max="54" width="9" customWidth="1"/>
    <col min="55" max="55" width="8.88671875" customWidth="1"/>
    <col min="56" max="56" width="11.33203125" customWidth="1"/>
    <col min="57" max="57" width="13.6640625" customWidth="1"/>
    <col min="58" max="58" width="11.5546875" customWidth="1"/>
    <col min="59" max="59" width="14.44140625" customWidth="1"/>
    <col min="60" max="63" width="8.88671875" bestFit="1" customWidth="1"/>
  </cols>
  <sheetData>
    <row r="1" spans="1:59" ht="14.4" x14ac:dyDescent="0.3">
      <c r="A1" s="8" t="s">
        <v>74</v>
      </c>
      <c r="B1" s="9"/>
      <c r="C1" s="10"/>
      <c r="D1" s="32" t="s">
        <v>6</v>
      </c>
      <c r="E1" s="33"/>
      <c r="F1" s="33"/>
      <c r="G1" s="33"/>
      <c r="H1" s="33"/>
      <c r="I1" s="33"/>
      <c r="J1" s="119"/>
      <c r="K1" s="33" t="s">
        <v>75</v>
      </c>
      <c r="L1" s="33"/>
      <c r="M1" s="33"/>
      <c r="N1" s="33"/>
      <c r="O1" s="33"/>
      <c r="P1" s="33"/>
      <c r="Q1" s="119"/>
      <c r="R1" s="33" t="s">
        <v>35</v>
      </c>
      <c r="S1" s="33"/>
      <c r="T1" s="33"/>
      <c r="U1" s="33"/>
      <c r="V1" s="33"/>
      <c r="W1" s="33"/>
      <c r="X1" s="33"/>
      <c r="Y1" s="118" t="s">
        <v>47</v>
      </c>
      <c r="Z1" s="33" t="s">
        <v>57</v>
      </c>
      <c r="AA1" s="33"/>
      <c r="AB1" s="33"/>
      <c r="AC1" s="33"/>
      <c r="AD1" s="33"/>
      <c r="AE1" s="33"/>
      <c r="AF1" s="34"/>
      <c r="AG1" s="134" t="s">
        <v>76</v>
      </c>
      <c r="AH1" s="135"/>
      <c r="AI1" s="135"/>
      <c r="AJ1" s="135"/>
      <c r="AK1" s="135"/>
      <c r="AL1" s="135"/>
      <c r="AM1" s="136"/>
      <c r="AN1" s="33" t="s">
        <v>70</v>
      </c>
      <c r="AO1" s="33"/>
      <c r="AP1" s="33"/>
      <c r="AQ1" s="33"/>
      <c r="AR1" s="33"/>
      <c r="AS1" s="33"/>
      <c r="AT1" s="119"/>
      <c r="AU1" s="120" t="s">
        <v>72</v>
      </c>
      <c r="AV1" s="121"/>
      <c r="AW1" s="121"/>
      <c r="AX1" s="121"/>
      <c r="AY1" s="121"/>
      <c r="AZ1" s="125"/>
      <c r="BA1" s="127" t="s">
        <v>77</v>
      </c>
      <c r="BB1" s="127"/>
      <c r="BC1" s="128"/>
      <c r="BD1" s="61" t="s">
        <v>78</v>
      </c>
      <c r="BE1" s="9" t="s">
        <v>79</v>
      </c>
      <c r="BF1" s="62" t="s">
        <v>80</v>
      </c>
      <c r="BG1" s="62" t="s">
        <v>81</v>
      </c>
    </row>
    <row r="2" spans="1:59" ht="40.200000000000003" x14ac:dyDescent="0.3">
      <c r="A2" s="11"/>
      <c r="B2" s="12" t="s">
        <v>82</v>
      </c>
      <c r="C2" s="13" t="s">
        <v>83</v>
      </c>
      <c r="D2" s="12" t="s">
        <v>84</v>
      </c>
      <c r="E2" s="15" t="s">
        <v>85</v>
      </c>
      <c r="F2" s="12" t="s">
        <v>86</v>
      </c>
      <c r="G2" s="12" t="s">
        <v>87</v>
      </c>
      <c r="H2" s="12" t="s">
        <v>88</v>
      </c>
      <c r="I2" s="16" t="s">
        <v>89</v>
      </c>
      <c r="J2" s="123" t="s">
        <v>90</v>
      </c>
      <c r="K2" s="12" t="s">
        <v>84</v>
      </c>
      <c r="L2" s="15" t="s">
        <v>85</v>
      </c>
      <c r="M2" s="12" t="s">
        <v>86</v>
      </c>
      <c r="N2" s="12" t="s">
        <v>87</v>
      </c>
      <c r="O2" s="12" t="s">
        <v>88</v>
      </c>
      <c r="P2" s="16" t="s">
        <v>89</v>
      </c>
      <c r="Q2" s="17" t="s">
        <v>90</v>
      </c>
      <c r="R2" s="12" t="s">
        <v>84</v>
      </c>
      <c r="S2" s="15" t="s">
        <v>85</v>
      </c>
      <c r="T2" s="12" t="s">
        <v>86</v>
      </c>
      <c r="U2" s="12" t="s">
        <v>87</v>
      </c>
      <c r="V2" s="12" t="s">
        <v>88</v>
      </c>
      <c r="W2" s="16" t="s">
        <v>89</v>
      </c>
      <c r="X2" s="110" t="s">
        <v>90</v>
      </c>
      <c r="Y2" s="111" t="s">
        <v>4</v>
      </c>
      <c r="Z2" s="117" t="s">
        <v>84</v>
      </c>
      <c r="AA2" s="15" t="s">
        <v>85</v>
      </c>
      <c r="AB2" s="12" t="s">
        <v>86</v>
      </c>
      <c r="AC2" s="12" t="s">
        <v>87</v>
      </c>
      <c r="AD2" s="12" t="s">
        <v>88</v>
      </c>
      <c r="AE2" s="16" t="s">
        <v>89</v>
      </c>
      <c r="AF2" s="17" t="s">
        <v>90</v>
      </c>
      <c r="AG2" s="12" t="s">
        <v>84</v>
      </c>
      <c r="AH2" s="15" t="s">
        <v>85</v>
      </c>
      <c r="AI2" s="12" t="s">
        <v>86</v>
      </c>
      <c r="AJ2" s="12" t="s">
        <v>87</v>
      </c>
      <c r="AK2" s="12" t="s">
        <v>88</v>
      </c>
      <c r="AL2" s="16" t="s">
        <v>89</v>
      </c>
      <c r="AM2" s="17" t="s">
        <v>90</v>
      </c>
      <c r="AN2" s="117" t="s">
        <v>84</v>
      </c>
      <c r="AO2" s="15" t="s">
        <v>85</v>
      </c>
      <c r="AP2" s="12" t="s">
        <v>86</v>
      </c>
      <c r="AQ2" s="12" t="s">
        <v>87</v>
      </c>
      <c r="AR2" s="12" t="s">
        <v>88</v>
      </c>
      <c r="AS2" s="16" t="s">
        <v>89</v>
      </c>
      <c r="AT2" s="110" t="s">
        <v>90</v>
      </c>
      <c r="AU2" s="111" t="s">
        <v>91</v>
      </c>
      <c r="AV2" s="111" t="s">
        <v>92</v>
      </c>
      <c r="AW2" s="111" t="s">
        <v>93</v>
      </c>
      <c r="AX2" s="111" t="s">
        <v>94</v>
      </c>
      <c r="AY2" s="111" t="s">
        <v>95</v>
      </c>
      <c r="AZ2" s="111" t="s">
        <v>96</v>
      </c>
      <c r="BA2" s="39" t="s">
        <v>97</v>
      </c>
      <c r="BB2" s="39" t="s">
        <v>98</v>
      </c>
      <c r="BC2" s="126" t="s">
        <v>99</v>
      </c>
      <c r="BD2" s="122" t="s">
        <v>100</v>
      </c>
      <c r="BE2" s="13" t="s">
        <v>101</v>
      </c>
      <c r="BF2" s="13" t="s">
        <v>102</v>
      </c>
      <c r="BG2" s="129" t="s">
        <v>103</v>
      </c>
    </row>
    <row r="3" spans="1:59" ht="14.4" x14ac:dyDescent="0.3">
      <c r="A3" t="s">
        <v>104</v>
      </c>
      <c r="B3" t="s">
        <v>75</v>
      </c>
      <c r="C3" t="s">
        <v>22</v>
      </c>
      <c r="D3" s="27">
        <v>518.14</v>
      </c>
      <c r="E3" s="27">
        <v>518.88</v>
      </c>
      <c r="F3" s="27">
        <v>518.30999999999995</v>
      </c>
      <c r="G3" s="27">
        <v>516.96</v>
      </c>
      <c r="H3" s="27">
        <v>518.94000000000005</v>
      </c>
      <c r="I3">
        <f t="shared" ref="I3:I14" si="0">AVERAGE(D3:H3)</f>
        <v>518.24599999999998</v>
      </c>
      <c r="J3" s="42">
        <f t="shared" ref="J3:J14" si="1">(MAX(D3:H3)-MIN(D3:H3))/(2*I3)</f>
        <v>1.9102897079765384E-3</v>
      </c>
      <c r="K3" s="27">
        <v>524.37</v>
      </c>
      <c r="L3" s="27">
        <v>525.63</v>
      </c>
      <c r="M3" s="27">
        <v>525.03</v>
      </c>
      <c r="N3" s="27">
        <v>523.47</v>
      </c>
      <c r="O3" s="27">
        <v>524.6</v>
      </c>
      <c r="P3">
        <f t="shared" ref="P3:P9" si="2">AVERAGE(K3:O3)</f>
        <v>524.62</v>
      </c>
      <c r="Q3" s="42">
        <f t="shared" ref="Q3:Q9" si="3">(MAX(K3:O3)-MIN(K3:O3))/(2*P3)</f>
        <v>2.0586329152529146E-3</v>
      </c>
      <c r="X3" s="42"/>
      <c r="Y3" s="42"/>
      <c r="AF3" s="42"/>
      <c r="AM3" s="42"/>
      <c r="AT3" s="42"/>
      <c r="AZ3" s="42"/>
      <c r="BC3" s="42"/>
      <c r="BG3" s="42"/>
    </row>
    <row r="4" spans="1:59" ht="14.4" x14ac:dyDescent="0.3">
      <c r="A4" t="s">
        <v>105</v>
      </c>
      <c r="B4" t="s">
        <v>75</v>
      </c>
      <c r="C4" t="s">
        <v>22</v>
      </c>
      <c r="D4" s="27">
        <v>518.79999999999995</v>
      </c>
      <c r="E4" s="27">
        <v>519.63</v>
      </c>
      <c r="F4" s="27">
        <v>518.6</v>
      </c>
      <c r="G4" s="27">
        <v>517.57000000000005</v>
      </c>
      <c r="H4" s="27">
        <v>518.80999999999995</v>
      </c>
      <c r="I4">
        <f t="shared" si="0"/>
        <v>518.68200000000002</v>
      </c>
      <c r="J4" s="42">
        <f t="shared" si="1"/>
        <v>1.9858024762763556E-3</v>
      </c>
      <c r="K4" s="27">
        <v>525.16</v>
      </c>
      <c r="L4" s="27">
        <v>526.76</v>
      </c>
      <c r="M4" s="27">
        <v>524.92999999999995</v>
      </c>
      <c r="N4" s="27">
        <v>523.5</v>
      </c>
      <c r="O4" s="27">
        <v>525.26</v>
      </c>
      <c r="P4">
        <f t="shared" si="2"/>
        <v>525.12199999999996</v>
      </c>
      <c r="Q4" s="42">
        <f t="shared" si="3"/>
        <v>3.1040405848545586E-3</v>
      </c>
      <c r="X4" s="42"/>
      <c r="Y4" s="42"/>
      <c r="AF4" s="42"/>
      <c r="AM4" s="42"/>
      <c r="AT4" s="42"/>
      <c r="AZ4" s="42"/>
      <c r="BC4" s="42"/>
      <c r="BG4" s="42"/>
    </row>
    <row r="5" spans="1:59" ht="14.4" x14ac:dyDescent="0.3">
      <c r="A5" t="s">
        <v>106</v>
      </c>
      <c r="B5" t="s">
        <v>75</v>
      </c>
      <c r="C5" t="s">
        <v>22</v>
      </c>
      <c r="D5" s="27">
        <v>519.47</v>
      </c>
      <c r="E5" s="27">
        <v>520.14</v>
      </c>
      <c r="F5" s="27">
        <v>519.07000000000005</v>
      </c>
      <c r="G5" s="27">
        <v>517.83000000000004</v>
      </c>
      <c r="H5" s="27">
        <v>519.79999999999995</v>
      </c>
      <c r="I5">
        <f t="shared" si="0"/>
        <v>519.26200000000006</v>
      </c>
      <c r="J5" s="42">
        <f t="shared" si="1"/>
        <v>2.2243106562775104E-3</v>
      </c>
      <c r="K5" s="27">
        <v>525.4</v>
      </c>
      <c r="L5" s="27">
        <v>526.78</v>
      </c>
      <c r="M5" s="27">
        <v>525.25</v>
      </c>
      <c r="N5" s="27">
        <v>523.94000000000005</v>
      </c>
      <c r="O5" s="27">
        <v>526.41999999999996</v>
      </c>
      <c r="P5">
        <f t="shared" si="2"/>
        <v>525.55799999999999</v>
      </c>
      <c r="Q5" s="42">
        <f t="shared" si="3"/>
        <v>2.7018901814832219E-3</v>
      </c>
      <c r="X5" s="42"/>
      <c r="Y5" s="42"/>
      <c r="AF5" s="42"/>
      <c r="AJ5" s="54"/>
      <c r="AM5" s="42"/>
      <c r="AT5" s="42"/>
      <c r="AZ5" s="42"/>
      <c r="BC5" s="42"/>
      <c r="BG5" s="42"/>
    </row>
    <row r="6" spans="1:59" ht="14.4" x14ac:dyDescent="0.3">
      <c r="A6" t="s">
        <v>107</v>
      </c>
      <c r="B6" t="s">
        <v>75</v>
      </c>
      <c r="C6" t="s">
        <v>22</v>
      </c>
      <c r="D6" s="27">
        <v>519.34</v>
      </c>
      <c r="E6" s="27">
        <v>521.44000000000005</v>
      </c>
      <c r="F6" s="27">
        <v>519.22</v>
      </c>
      <c r="G6" s="27">
        <v>517.61</v>
      </c>
      <c r="H6" s="27">
        <v>518.87</v>
      </c>
      <c r="I6">
        <f t="shared" si="0"/>
        <v>519.29600000000005</v>
      </c>
      <c r="J6" s="42">
        <f t="shared" si="1"/>
        <v>3.6876848656643229E-3</v>
      </c>
      <c r="K6" s="27">
        <v>525.66</v>
      </c>
      <c r="L6" s="27">
        <v>527</v>
      </c>
      <c r="M6" s="27">
        <v>526.17999999999995</v>
      </c>
      <c r="N6" s="27">
        <v>524.14</v>
      </c>
      <c r="O6" s="27">
        <v>525.98</v>
      </c>
      <c r="P6">
        <f t="shared" si="2"/>
        <v>525.79199999999992</v>
      </c>
      <c r="Q6" s="42">
        <f t="shared" si="3"/>
        <v>2.7197066520601438E-3</v>
      </c>
      <c r="X6" s="42"/>
      <c r="Y6" s="42"/>
      <c r="AF6" s="42"/>
      <c r="AG6" s="54"/>
      <c r="AH6" s="54"/>
      <c r="AJ6" s="54"/>
      <c r="AK6" s="54"/>
      <c r="AM6" s="42"/>
      <c r="AT6" s="42"/>
      <c r="AZ6" s="42"/>
      <c r="BC6" s="42"/>
      <c r="BG6" s="42"/>
    </row>
    <row r="7" spans="1:59" ht="14.4" x14ac:dyDescent="0.3">
      <c r="A7" t="s">
        <v>108</v>
      </c>
      <c r="B7" t="s">
        <v>75</v>
      </c>
      <c r="C7" t="s">
        <v>22</v>
      </c>
      <c r="D7" s="27">
        <v>518.09</v>
      </c>
      <c r="E7" s="27">
        <v>518.04</v>
      </c>
      <c r="F7" s="27">
        <v>518.07000000000005</v>
      </c>
      <c r="G7" s="27">
        <v>515.21</v>
      </c>
      <c r="H7" s="27">
        <v>517.11</v>
      </c>
      <c r="I7">
        <f t="shared" si="0"/>
        <v>517.30400000000009</v>
      </c>
      <c r="J7" s="42">
        <f t="shared" si="1"/>
        <v>2.7836629912005272E-3</v>
      </c>
      <c r="K7" s="27">
        <v>523.5</v>
      </c>
      <c r="L7" s="27">
        <v>523.67999999999995</v>
      </c>
      <c r="M7" s="27">
        <v>523.17999999999995</v>
      </c>
      <c r="N7" s="27">
        <v>522.83000000000004</v>
      </c>
      <c r="O7" s="27">
        <v>523.86</v>
      </c>
      <c r="P7">
        <f t="shared" si="2"/>
        <v>523.41</v>
      </c>
      <c r="Q7" s="42">
        <f t="shared" si="3"/>
        <v>9.8393229017402486E-4</v>
      </c>
      <c r="X7" s="42"/>
      <c r="Y7" s="42"/>
      <c r="AF7" s="42"/>
      <c r="AH7" s="54"/>
      <c r="AK7" s="54"/>
      <c r="AM7" s="42"/>
      <c r="AT7" s="42"/>
      <c r="AZ7" s="42"/>
      <c r="BC7" s="42"/>
      <c r="BG7" s="42"/>
    </row>
    <row r="8" spans="1:59" ht="14.4" x14ac:dyDescent="0.3">
      <c r="A8" t="s">
        <v>109</v>
      </c>
      <c r="B8" t="s">
        <v>75</v>
      </c>
      <c r="C8" t="s">
        <v>22</v>
      </c>
      <c r="D8" s="27">
        <v>517.34</v>
      </c>
      <c r="E8" s="27">
        <v>517.49</v>
      </c>
      <c r="F8" s="27">
        <v>517.25</v>
      </c>
      <c r="G8" s="27">
        <v>516.45000000000005</v>
      </c>
      <c r="H8" s="27">
        <v>517.74</v>
      </c>
      <c r="I8">
        <f t="shared" si="0"/>
        <v>517.25399999999991</v>
      </c>
      <c r="J8" s="42">
        <f t="shared" si="1"/>
        <v>1.2469695739423608E-3</v>
      </c>
      <c r="K8" s="27">
        <v>523.98</v>
      </c>
      <c r="L8" s="27">
        <v>524.17999999999995</v>
      </c>
      <c r="M8" s="27">
        <v>524.35</v>
      </c>
      <c r="N8" s="27">
        <v>522.62</v>
      </c>
      <c r="O8" s="27">
        <v>523.4</v>
      </c>
      <c r="P8">
        <f t="shared" si="2"/>
        <v>523.7059999999999</v>
      </c>
      <c r="Q8" s="42">
        <f t="shared" si="3"/>
        <v>1.6516900703830188E-3</v>
      </c>
      <c r="X8" s="42"/>
      <c r="Y8" s="42"/>
      <c r="AF8" s="42"/>
      <c r="AM8" s="42"/>
      <c r="AT8" s="42"/>
      <c r="AZ8" s="42"/>
      <c r="BC8" s="42"/>
      <c r="BG8" s="42"/>
    </row>
    <row r="9" spans="1:59" ht="14.4" x14ac:dyDescent="0.3">
      <c r="A9" t="s">
        <v>110</v>
      </c>
      <c r="B9" t="s">
        <v>75</v>
      </c>
      <c r="C9" t="s">
        <v>22</v>
      </c>
      <c r="D9" s="27">
        <v>521.85</v>
      </c>
      <c r="E9" s="27">
        <v>520.89</v>
      </c>
      <c r="F9" s="27">
        <v>519.63</v>
      </c>
      <c r="G9" s="27">
        <v>517.77</v>
      </c>
      <c r="H9" s="27">
        <v>519.48</v>
      </c>
      <c r="I9">
        <f t="shared" si="0"/>
        <v>519.92399999999998</v>
      </c>
      <c r="J9" s="130">
        <f t="shared" si="1"/>
        <v>3.9236503796709144E-3</v>
      </c>
      <c r="K9" s="27">
        <v>529.22</v>
      </c>
      <c r="L9" s="27">
        <v>528.38</v>
      </c>
      <c r="M9" s="27">
        <v>527.16999999999996</v>
      </c>
      <c r="N9" s="27">
        <v>525.26</v>
      </c>
      <c r="O9" s="27">
        <v>526.66999999999996</v>
      </c>
      <c r="P9">
        <f t="shared" si="2"/>
        <v>527.33999999999992</v>
      </c>
      <c r="Q9" s="42">
        <f t="shared" si="3"/>
        <v>3.7546933667084205E-3</v>
      </c>
      <c r="X9" s="42"/>
      <c r="Y9" s="42"/>
      <c r="AF9" s="42"/>
      <c r="AH9" s="54"/>
      <c r="AK9" s="54"/>
      <c r="AM9" s="42"/>
      <c r="AT9" s="42"/>
      <c r="AZ9" s="42"/>
      <c r="BC9" s="42"/>
      <c r="BG9" s="42"/>
    </row>
    <row r="10" spans="1:59" ht="14.4" x14ac:dyDescent="0.3">
      <c r="A10" t="s">
        <v>111</v>
      </c>
      <c r="B10" t="s">
        <v>14</v>
      </c>
      <c r="C10" t="s">
        <v>75</v>
      </c>
      <c r="D10" s="27">
        <v>519.02</v>
      </c>
      <c r="E10" s="27">
        <v>519.86</v>
      </c>
      <c r="F10" s="27">
        <v>518.36</v>
      </c>
      <c r="G10" s="27">
        <v>517.5</v>
      </c>
      <c r="H10" s="27">
        <v>519.45000000000005</v>
      </c>
      <c r="I10">
        <f t="shared" si="0"/>
        <v>518.83800000000008</v>
      </c>
      <c r="J10" s="130">
        <f t="shared" si="1"/>
        <v>2.2743129840142907E-3</v>
      </c>
      <c r="K10" s="27"/>
      <c r="L10" s="27"/>
      <c r="M10" s="27"/>
      <c r="N10" s="27"/>
      <c r="O10" s="27"/>
      <c r="P10" s="27"/>
      <c r="Q10" s="124"/>
      <c r="X10" s="42"/>
      <c r="Y10" s="42"/>
      <c r="AF10" s="42"/>
      <c r="AM10" s="42"/>
      <c r="AT10" s="42"/>
      <c r="AZ10" s="42"/>
      <c r="BC10" s="42"/>
      <c r="BG10" s="42"/>
    </row>
    <row r="11" spans="1:59" ht="14.4" x14ac:dyDescent="0.3">
      <c r="A11" t="s">
        <v>112</v>
      </c>
      <c r="B11" t="s">
        <v>14</v>
      </c>
      <c r="C11" t="s">
        <v>75</v>
      </c>
      <c r="D11" s="27">
        <v>522.76</v>
      </c>
      <c r="E11" s="27">
        <v>522.45000000000005</v>
      </c>
      <c r="F11" s="27">
        <v>522.55999999999995</v>
      </c>
      <c r="G11" s="27">
        <v>521.49</v>
      </c>
      <c r="H11" s="27">
        <v>522.78</v>
      </c>
      <c r="I11">
        <f t="shared" si="0"/>
        <v>522.40800000000002</v>
      </c>
      <c r="J11" s="130">
        <f t="shared" si="1"/>
        <v>1.2346671567050691E-3</v>
      </c>
      <c r="K11" s="27"/>
      <c r="L11" s="27"/>
      <c r="M11" s="27"/>
      <c r="N11" s="27"/>
      <c r="O11" s="27"/>
      <c r="P11" s="27"/>
      <c r="Q11" s="124"/>
      <c r="X11" s="42"/>
      <c r="Y11" s="42"/>
      <c r="AF11" s="42"/>
      <c r="AM11" s="42"/>
      <c r="AT11" s="42"/>
      <c r="AZ11" s="42"/>
      <c r="BC11" s="42"/>
      <c r="BG11" s="42"/>
    </row>
    <row r="12" spans="1:59" ht="14.4" x14ac:dyDescent="0.3">
      <c r="A12" t="s">
        <v>113</v>
      </c>
      <c r="B12" t="s">
        <v>14</v>
      </c>
      <c r="C12" t="s">
        <v>75</v>
      </c>
      <c r="D12" s="27">
        <v>523.01</v>
      </c>
      <c r="E12" s="27">
        <v>522.4</v>
      </c>
      <c r="F12" s="27">
        <v>522.29999999999995</v>
      </c>
      <c r="G12" s="27">
        <v>521.70000000000005</v>
      </c>
      <c r="H12" s="27">
        <v>522.75</v>
      </c>
      <c r="I12">
        <f t="shared" si="0"/>
        <v>522.43200000000002</v>
      </c>
      <c r="J12" s="130">
        <f t="shared" si="1"/>
        <v>1.2537516844296917E-3</v>
      </c>
      <c r="K12" s="27"/>
      <c r="L12" s="27"/>
      <c r="M12" s="27"/>
      <c r="N12" s="27"/>
      <c r="O12" s="27"/>
      <c r="P12" s="27"/>
      <c r="Q12" s="124"/>
      <c r="X12" s="42"/>
      <c r="Y12" s="42"/>
      <c r="AF12" s="42"/>
      <c r="AH12" s="54"/>
      <c r="AJ12" s="54"/>
      <c r="AK12" s="54"/>
      <c r="AM12" s="42"/>
      <c r="AT12" s="42"/>
      <c r="AZ12" s="42"/>
      <c r="BC12" s="42"/>
      <c r="BG12" s="42"/>
    </row>
    <row r="13" spans="1:59" ht="15" customHeight="1" x14ac:dyDescent="0.3">
      <c r="A13" t="s">
        <v>114</v>
      </c>
      <c r="B13" t="s">
        <v>6</v>
      </c>
      <c r="C13" t="s">
        <v>9</v>
      </c>
      <c r="D13" s="27">
        <v>522.69000000000005</v>
      </c>
      <c r="E13" s="27">
        <v>522.45000000000005</v>
      </c>
      <c r="F13" s="27">
        <v>522.74</v>
      </c>
      <c r="G13" s="27">
        <v>522.25</v>
      </c>
      <c r="H13" s="27">
        <v>522.79</v>
      </c>
      <c r="I13">
        <f t="shared" si="0"/>
        <v>522.58400000000006</v>
      </c>
      <c r="J13" s="130">
        <f t="shared" si="1"/>
        <v>5.166633498154972E-4</v>
      </c>
      <c r="Q13" s="124"/>
      <c r="X13" s="42"/>
      <c r="Y13" s="42"/>
      <c r="AF13" s="42"/>
      <c r="AM13" s="42"/>
      <c r="AT13" s="42"/>
      <c r="AZ13" s="42"/>
      <c r="BC13" s="42"/>
      <c r="BG13" s="42"/>
    </row>
    <row r="14" spans="1:59" ht="15" customHeight="1" x14ac:dyDescent="0.3">
      <c r="A14" t="s">
        <v>115</v>
      </c>
      <c r="B14" t="s">
        <v>6</v>
      </c>
      <c r="C14" t="s">
        <v>9</v>
      </c>
      <c r="D14" s="27">
        <v>524.17999999999995</v>
      </c>
      <c r="E14" s="27">
        <v>524.24</v>
      </c>
      <c r="F14" s="27">
        <v>524.5</v>
      </c>
      <c r="G14" s="27">
        <v>522.75</v>
      </c>
      <c r="H14" s="27">
        <v>523.72</v>
      </c>
      <c r="I14">
        <f t="shared" si="0"/>
        <v>523.87800000000004</v>
      </c>
      <c r="J14" s="130">
        <f t="shared" si="1"/>
        <v>1.670236200031305E-3</v>
      </c>
      <c r="Q14" s="124"/>
      <c r="X14" s="42"/>
      <c r="Y14" s="42"/>
      <c r="AF14" s="42"/>
      <c r="AM14" s="42"/>
      <c r="AT14" s="42"/>
      <c r="AZ14" s="42"/>
      <c r="BC14" s="42"/>
      <c r="BG14" s="42"/>
    </row>
    <row r="15" spans="1:59" ht="15" customHeight="1" x14ac:dyDescent="0.3">
      <c r="Q15" s="124"/>
    </row>
    <row r="16" spans="1:59" ht="15" customHeight="1" x14ac:dyDescent="0.3">
      <c r="K16" t="s">
        <v>116</v>
      </c>
      <c r="Q16" s="124"/>
    </row>
    <row r="17" spans="10:17" ht="15" customHeight="1" x14ac:dyDescent="0.3">
      <c r="K17" t="s">
        <v>84</v>
      </c>
      <c r="L17" t="s">
        <v>117</v>
      </c>
      <c r="M17" t="s">
        <v>86</v>
      </c>
      <c r="N17" t="s">
        <v>87</v>
      </c>
      <c r="O17" t="s">
        <v>88</v>
      </c>
      <c r="P17" t="s">
        <v>89</v>
      </c>
      <c r="Q17" s="124" t="s">
        <v>90</v>
      </c>
    </row>
    <row r="18" spans="10:17" ht="15" customHeight="1" x14ac:dyDescent="0.3">
      <c r="J18" t="s">
        <v>104</v>
      </c>
      <c r="K18" s="27">
        <f t="shared" ref="K18:O24" si="4">K3-D3</f>
        <v>6.2300000000000182</v>
      </c>
      <c r="L18" s="27">
        <f t="shared" si="4"/>
        <v>6.75</v>
      </c>
      <c r="M18" s="27">
        <f t="shared" si="4"/>
        <v>6.7200000000000273</v>
      </c>
      <c r="N18" s="27">
        <f t="shared" si="4"/>
        <v>6.5099999999999909</v>
      </c>
      <c r="O18" s="27">
        <f t="shared" si="4"/>
        <v>5.6599999999999682</v>
      </c>
      <c r="P18">
        <f>AVERAGE(K18:O18)</f>
        <v>6.3740000000000006</v>
      </c>
      <c r="Q18" s="42">
        <f>(MAX(K18:O18)-MIN(K18:O18))/(2*P18)</f>
        <v>8.5503608409164711E-2</v>
      </c>
    </row>
    <row r="19" spans="10:17" ht="15" customHeight="1" x14ac:dyDescent="0.3">
      <c r="J19" t="s">
        <v>105</v>
      </c>
      <c r="K19" s="27">
        <f t="shared" si="4"/>
        <v>6.3600000000000136</v>
      </c>
      <c r="L19" s="27">
        <f t="shared" si="4"/>
        <v>7.1299999999999955</v>
      </c>
      <c r="M19" s="27">
        <f t="shared" si="4"/>
        <v>6.3299999999999272</v>
      </c>
      <c r="N19" s="27">
        <f t="shared" si="4"/>
        <v>5.92999999999995</v>
      </c>
      <c r="O19" s="27">
        <f t="shared" si="4"/>
        <v>6.4500000000000455</v>
      </c>
      <c r="P19">
        <f t="shared" ref="P19:P22" si="5">AVERAGE(K19:O19)</f>
        <v>6.4399999999999862</v>
      </c>
      <c r="Q19" s="42">
        <f t="shared" ref="Q19:Q22" si="6">(MAX(K19:O19)-MIN(K19:O19))/(2*P19)</f>
        <v>9.3167701863357766E-2</v>
      </c>
    </row>
    <row r="20" spans="10:17" ht="15" customHeight="1" x14ac:dyDescent="0.3">
      <c r="J20" t="s">
        <v>106</v>
      </c>
      <c r="K20" s="27">
        <f t="shared" si="4"/>
        <v>5.92999999999995</v>
      </c>
      <c r="L20" s="27">
        <f t="shared" si="4"/>
        <v>6.6399999999999864</v>
      </c>
      <c r="M20" s="27">
        <f t="shared" si="4"/>
        <v>6.17999999999995</v>
      </c>
      <c r="N20" s="27">
        <f t="shared" si="4"/>
        <v>6.1100000000000136</v>
      </c>
      <c r="O20" s="27">
        <f t="shared" si="4"/>
        <v>6.6200000000000045</v>
      </c>
      <c r="P20">
        <f t="shared" si="5"/>
        <v>6.2959999999999807</v>
      </c>
      <c r="Q20" s="42">
        <f t="shared" si="6"/>
        <v>5.6385006353243214E-2</v>
      </c>
    </row>
    <row r="21" spans="10:17" ht="15" customHeight="1" x14ac:dyDescent="0.3">
      <c r="J21" t="s">
        <v>107</v>
      </c>
      <c r="K21" s="27">
        <f t="shared" si="4"/>
        <v>6.3199999999999363</v>
      </c>
      <c r="L21" s="27">
        <f t="shared" si="4"/>
        <v>5.5599999999999454</v>
      </c>
      <c r="M21" s="27">
        <f t="shared" si="4"/>
        <v>6.9599999999999227</v>
      </c>
      <c r="N21" s="27">
        <f t="shared" si="4"/>
        <v>6.5299999999999727</v>
      </c>
      <c r="O21" s="27">
        <f t="shared" si="4"/>
        <v>7.1100000000000136</v>
      </c>
      <c r="P21">
        <f t="shared" si="5"/>
        <v>6.4959999999999578</v>
      </c>
      <c r="Q21" s="42">
        <f t="shared" si="6"/>
        <v>0.11930418719212425</v>
      </c>
    </row>
    <row r="22" spans="10:17" ht="15" customHeight="1" x14ac:dyDescent="0.3">
      <c r="J22" s="131" t="s">
        <v>108</v>
      </c>
      <c r="K22" s="27">
        <f t="shared" si="4"/>
        <v>5.4099999999999682</v>
      </c>
      <c r="L22" s="27">
        <f t="shared" si="4"/>
        <v>5.6399999999999864</v>
      </c>
      <c r="M22" s="27">
        <f t="shared" si="4"/>
        <v>5.1099999999999</v>
      </c>
      <c r="N22" s="27">
        <f t="shared" si="4"/>
        <v>7.6200000000000045</v>
      </c>
      <c r="O22" s="27">
        <f t="shared" si="4"/>
        <v>6.75</v>
      </c>
      <c r="P22">
        <f t="shared" si="5"/>
        <v>6.1059999999999715</v>
      </c>
      <c r="Q22" s="42">
        <f t="shared" si="6"/>
        <v>0.20553553881429057</v>
      </c>
    </row>
    <row r="23" spans="10:17" ht="15" customHeight="1" x14ac:dyDescent="0.3">
      <c r="J23" s="131" t="s">
        <v>109</v>
      </c>
      <c r="K23" s="27">
        <f t="shared" si="4"/>
        <v>6.6399999999999864</v>
      </c>
      <c r="L23" s="27">
        <f t="shared" si="4"/>
        <v>6.6899999999999409</v>
      </c>
      <c r="M23" s="27">
        <f t="shared" si="4"/>
        <v>7.1000000000000227</v>
      </c>
      <c r="N23" s="27">
        <f t="shared" si="4"/>
        <v>6.1699999999999591</v>
      </c>
      <c r="O23" s="27">
        <f t="shared" si="4"/>
        <v>5.6599999999999682</v>
      </c>
      <c r="P23">
        <f t="shared" ref="P23" si="7">AVERAGE(K23:O23)</f>
        <v>6.4519999999999751</v>
      </c>
      <c r="Q23" s="42">
        <f t="shared" ref="Q23:Q24" si="8">(MAX(K23:O23)-MIN(K23:O23))/(2*P23)</f>
        <v>0.11159330440174056</v>
      </c>
    </row>
    <row r="24" spans="10:17" ht="15" customHeight="1" x14ac:dyDescent="0.3">
      <c r="J24" t="s">
        <v>110</v>
      </c>
      <c r="K24" s="27">
        <f t="shared" si="4"/>
        <v>7.3700000000000045</v>
      </c>
      <c r="L24" s="27">
        <f t="shared" si="4"/>
        <v>7.4900000000000091</v>
      </c>
      <c r="M24" s="27">
        <f t="shared" si="4"/>
        <v>7.5399999999999636</v>
      </c>
      <c r="N24" s="27">
        <f t="shared" si="4"/>
        <v>7.4900000000000091</v>
      </c>
      <c r="O24" s="27">
        <f t="shared" si="4"/>
        <v>7.1899999999999409</v>
      </c>
      <c r="P24">
        <f t="shared" ref="P24" si="9">AVERAGE(K24:O24)</f>
        <v>7.4159999999999853</v>
      </c>
      <c r="Q24" s="42">
        <f t="shared" si="8"/>
        <v>2.3597626752968139E-2</v>
      </c>
    </row>
    <row r="25" spans="10:17" ht="15" customHeight="1" x14ac:dyDescent="0.3">
      <c r="J25" t="s">
        <v>111</v>
      </c>
      <c r="Q25" s="42"/>
    </row>
    <row r="26" spans="10:17" ht="15" customHeight="1" x14ac:dyDescent="0.3">
      <c r="J26" t="s">
        <v>112</v>
      </c>
      <c r="Q26" s="42"/>
    </row>
    <row r="27" spans="10:17" ht="15" customHeight="1" x14ac:dyDescent="0.3">
      <c r="J27" t="s">
        <v>113</v>
      </c>
      <c r="Q27" s="42"/>
    </row>
    <row r="28" spans="10:17" ht="15" customHeight="1" x14ac:dyDescent="0.3">
      <c r="J28" t="s">
        <v>114</v>
      </c>
      <c r="Q28" s="42"/>
    </row>
    <row r="29" spans="10:17" ht="15" customHeight="1" x14ac:dyDescent="0.3">
      <c r="J29" t="s">
        <v>115</v>
      </c>
      <c r="Q29" s="42"/>
    </row>
    <row r="31" spans="10:17" ht="15" customHeight="1" x14ac:dyDescent="0.3">
      <c r="K31" t="s">
        <v>118</v>
      </c>
    </row>
    <row r="32" spans="10:17" ht="15" customHeight="1" x14ac:dyDescent="0.3">
      <c r="K32" s="12" t="s">
        <v>119</v>
      </c>
      <c r="L32" s="12" t="s">
        <v>120</v>
      </c>
      <c r="M32" s="12" t="s">
        <v>89</v>
      </c>
      <c r="N32" s="12" t="s">
        <v>121</v>
      </c>
      <c r="O32" s="14" t="s">
        <v>122</v>
      </c>
      <c r="Q32" s="124"/>
    </row>
    <row r="33" spans="10:17" ht="15" customHeight="1" x14ac:dyDescent="0.3">
      <c r="J33" t="s">
        <v>104</v>
      </c>
      <c r="K33" s="19">
        <v>5.8719999999999999</v>
      </c>
      <c r="L33" s="19">
        <v>6.0919999999999996</v>
      </c>
      <c r="M33" s="19">
        <v>5.9409999999999998</v>
      </c>
      <c r="N33" s="42">
        <v>4.7829999999999998E-2</v>
      </c>
      <c r="O33" s="42">
        <v>1.8</v>
      </c>
      <c r="Q33" s="42"/>
    </row>
    <row r="34" spans="10:17" ht="15" customHeight="1" x14ac:dyDescent="0.3">
      <c r="J34" t="s">
        <v>105</v>
      </c>
      <c r="K34" s="19">
        <v>5.9509999999999996</v>
      </c>
      <c r="L34" s="19">
        <v>6.1580000000000004</v>
      </c>
      <c r="M34" s="19">
        <v>6.0140000000000002</v>
      </c>
      <c r="N34" s="42">
        <v>4.4880000000000003E-2</v>
      </c>
      <c r="O34" s="42">
        <v>1.7</v>
      </c>
      <c r="Q34" s="42"/>
    </row>
    <row r="35" spans="10:17" ht="15" customHeight="1" x14ac:dyDescent="0.3">
      <c r="J35" t="s">
        <v>106</v>
      </c>
      <c r="K35" s="19">
        <v>5.9219999999999997</v>
      </c>
      <c r="L35" s="19">
        <v>6.1470000000000002</v>
      </c>
      <c r="M35" s="19">
        <v>6.0010000000000003</v>
      </c>
      <c r="N35" s="42">
        <v>4.8509999999999998E-2</v>
      </c>
      <c r="O35" s="42">
        <v>1.9</v>
      </c>
      <c r="Q35" s="42"/>
    </row>
    <row r="36" spans="10:17" ht="15" customHeight="1" x14ac:dyDescent="0.3">
      <c r="J36" t="s">
        <v>107</v>
      </c>
      <c r="K36" s="19">
        <v>5.8920000000000003</v>
      </c>
      <c r="L36" s="19">
        <v>6.1130000000000004</v>
      </c>
      <c r="M36" s="19">
        <v>5.9640000000000004</v>
      </c>
      <c r="N36" s="42">
        <v>4.743E-2</v>
      </c>
      <c r="O36" s="42">
        <v>1.9</v>
      </c>
      <c r="Q36" s="42"/>
    </row>
    <row r="37" spans="10:17" ht="15" customHeight="1" x14ac:dyDescent="0.3">
      <c r="J37" s="131" t="s">
        <v>108</v>
      </c>
      <c r="K37" s="19">
        <v>5.9390000000000001</v>
      </c>
      <c r="L37" s="19">
        <v>6.1639999999999997</v>
      </c>
      <c r="M37" s="19">
        <v>6.02</v>
      </c>
      <c r="N37" s="42">
        <v>4.8689999999999997E-2</v>
      </c>
      <c r="O37" s="42">
        <v>1.9</v>
      </c>
      <c r="Q37" s="42"/>
    </row>
    <row r="38" spans="10:17" ht="15" customHeight="1" x14ac:dyDescent="0.3">
      <c r="J38" s="131" t="s">
        <v>109</v>
      </c>
      <c r="K38" s="19">
        <v>5.9349999999999996</v>
      </c>
      <c r="L38" s="19">
        <v>6.165</v>
      </c>
      <c r="M38" s="19">
        <v>6.0220000000000002</v>
      </c>
      <c r="N38" s="42">
        <v>4.9709999999999997E-2</v>
      </c>
      <c r="O38" s="42">
        <v>1.9</v>
      </c>
      <c r="Q38" s="42"/>
    </row>
    <row r="39" spans="10:17" ht="15" customHeight="1" x14ac:dyDescent="0.3">
      <c r="J39" t="s">
        <v>110</v>
      </c>
      <c r="K39" s="19">
        <v>5.8940000000000001</v>
      </c>
      <c r="L39" s="19">
        <v>6.1059999999999999</v>
      </c>
      <c r="M39" s="19">
        <v>5.9560000000000004</v>
      </c>
      <c r="N39" s="42">
        <v>4.5400000000000003E-2</v>
      </c>
      <c r="O39" s="42">
        <v>1.8</v>
      </c>
      <c r="Q39" s="42"/>
    </row>
    <row r="40" spans="10:17" ht="15" customHeight="1" x14ac:dyDescent="0.3">
      <c r="J40" t="s">
        <v>111</v>
      </c>
      <c r="K40" s="19">
        <v>5.9669999999999996</v>
      </c>
      <c r="L40" s="19">
        <v>6.1849999999999996</v>
      </c>
      <c r="M40" s="19">
        <v>6.0410000000000004</v>
      </c>
      <c r="N40" s="42">
        <v>4.7280000000000003E-2</v>
      </c>
      <c r="O40" s="42">
        <v>1.8</v>
      </c>
      <c r="Q40" s="42"/>
    </row>
    <row r="41" spans="10:17" ht="15" customHeight="1" x14ac:dyDescent="0.3">
      <c r="J41" t="s">
        <v>112</v>
      </c>
      <c r="K41" s="19">
        <v>5.976</v>
      </c>
      <c r="L41" s="19">
        <v>6.1870000000000003</v>
      </c>
      <c r="M41" s="19">
        <v>6.0419999999999998</v>
      </c>
      <c r="N41" s="42">
        <v>4.5960000000000001E-2</v>
      </c>
      <c r="O41" s="42">
        <v>1.8</v>
      </c>
      <c r="Q41" s="42"/>
    </row>
    <row r="42" spans="10:17" ht="15" customHeight="1" x14ac:dyDescent="0.3">
      <c r="J42" t="s">
        <v>113</v>
      </c>
      <c r="K42" s="19">
        <v>5.9429999999999996</v>
      </c>
      <c r="L42" s="19">
        <v>6.1619999999999999</v>
      </c>
      <c r="M42" s="19">
        <v>6.0170000000000003</v>
      </c>
      <c r="N42" s="42">
        <v>4.7539999999999999E-2</v>
      </c>
      <c r="O42" s="42">
        <v>1.8</v>
      </c>
      <c r="Q42" s="42"/>
    </row>
    <row r="43" spans="10:17" ht="15" customHeight="1" x14ac:dyDescent="0.3">
      <c r="J43" t="s">
        <v>114</v>
      </c>
      <c r="Q43" s="42"/>
    </row>
    <row r="44" spans="10:17" ht="15" customHeight="1" x14ac:dyDescent="0.3">
      <c r="J44" t="s">
        <v>115</v>
      </c>
      <c r="Q44" s="42"/>
    </row>
  </sheetData>
  <mergeCells count="1">
    <mergeCell ref="AG1:AM1"/>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B799934-52BB-407C-A474-5AC4BA37A130}">
          <x14:formula1>
            <xm:f>'New process flow'!$A$3:$A$22</xm:f>
          </x14:formula1>
          <xm:sqref>B3:C27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3B33-0393-424E-B59C-8EFCC0C5D757}">
  <dimension ref="A1:H22"/>
  <sheetViews>
    <sheetView workbookViewId="0">
      <selection activeCell="E17" sqref="E17"/>
    </sheetView>
  </sheetViews>
  <sheetFormatPr defaultRowHeight="14.4" x14ac:dyDescent="0.3"/>
  <cols>
    <col min="3" max="3" width="10.33203125" customWidth="1"/>
    <col min="4" max="4" width="28" customWidth="1"/>
    <col min="5" max="5" width="14.5546875" customWidth="1"/>
    <col min="6" max="6" width="12.6640625" customWidth="1"/>
    <col min="7" max="7" width="20.6640625" customWidth="1"/>
    <col min="8" max="8" width="22" customWidth="1"/>
    <col min="9" max="9" width="10.33203125" customWidth="1"/>
    <col min="10" max="11" width="9.6640625" customWidth="1"/>
  </cols>
  <sheetData>
    <row r="1" spans="1:8" x14ac:dyDescent="0.3">
      <c r="A1" s="30" t="s">
        <v>123</v>
      </c>
      <c r="B1" s="69" t="s">
        <v>124</v>
      </c>
      <c r="C1" s="101" t="s">
        <v>125</v>
      </c>
      <c r="D1" s="70" t="s">
        <v>3</v>
      </c>
      <c r="E1" s="69" t="s">
        <v>126</v>
      </c>
      <c r="F1" s="69" t="s">
        <v>127</v>
      </c>
      <c r="G1" s="71" t="s">
        <v>128</v>
      </c>
      <c r="H1" s="72" t="s">
        <v>129</v>
      </c>
    </row>
    <row r="2" spans="1:8" x14ac:dyDescent="0.3">
      <c r="A2" s="30">
        <v>1</v>
      </c>
      <c r="B2" s="67" t="s">
        <v>130</v>
      </c>
      <c r="C2" s="102"/>
      <c r="D2" s="68" t="s">
        <v>131</v>
      </c>
      <c r="E2" s="69">
        <v>15</v>
      </c>
      <c r="F2" s="69">
        <v>2</v>
      </c>
      <c r="G2" s="73"/>
      <c r="H2" s="74"/>
    </row>
    <row r="3" spans="1:8" x14ac:dyDescent="0.3">
      <c r="A3" s="30">
        <v>2</v>
      </c>
      <c r="B3" s="67" t="s">
        <v>132</v>
      </c>
      <c r="C3" s="102"/>
      <c r="D3" s="68" t="s">
        <v>131</v>
      </c>
      <c r="E3" s="69">
        <v>12</v>
      </c>
      <c r="F3" s="69">
        <v>2</v>
      </c>
      <c r="G3" s="73"/>
      <c r="H3" s="69"/>
    </row>
    <row r="4" spans="1:8" x14ac:dyDescent="0.3">
      <c r="A4" s="30">
        <v>3</v>
      </c>
      <c r="B4" s="67" t="s">
        <v>133</v>
      </c>
      <c r="C4" s="102"/>
      <c r="D4" s="68" t="s">
        <v>131</v>
      </c>
      <c r="E4" s="69">
        <v>10.5</v>
      </c>
      <c r="F4" s="69">
        <v>2</v>
      </c>
      <c r="G4" s="73"/>
      <c r="H4" s="69"/>
    </row>
    <row r="5" spans="1:8" x14ac:dyDescent="0.3">
      <c r="A5" s="30">
        <v>4</v>
      </c>
      <c r="B5" s="67" t="s">
        <v>134</v>
      </c>
      <c r="C5" s="102"/>
      <c r="D5" s="68" t="s">
        <v>131</v>
      </c>
      <c r="E5" s="69">
        <v>10.5</v>
      </c>
      <c r="F5" s="69">
        <v>2</v>
      </c>
      <c r="G5" s="73"/>
      <c r="H5" s="69"/>
    </row>
    <row r="6" spans="1:8" x14ac:dyDescent="0.3">
      <c r="A6" s="30">
        <v>5</v>
      </c>
      <c r="B6" s="67" t="s">
        <v>135</v>
      </c>
      <c r="C6" s="102"/>
      <c r="D6" s="68" t="s">
        <v>131</v>
      </c>
      <c r="E6" s="69">
        <v>10.5</v>
      </c>
      <c r="F6" s="69">
        <v>2</v>
      </c>
      <c r="G6" s="73"/>
      <c r="H6" s="69"/>
    </row>
    <row r="7" spans="1:8" x14ac:dyDescent="0.3">
      <c r="A7" s="30">
        <v>6</v>
      </c>
      <c r="B7" s="67" t="s">
        <v>136</v>
      </c>
      <c r="C7" s="102"/>
      <c r="D7" s="68" t="s">
        <v>131</v>
      </c>
      <c r="E7" s="69">
        <v>10.5</v>
      </c>
      <c r="F7" s="69">
        <v>2</v>
      </c>
      <c r="G7" s="73"/>
      <c r="H7" s="69"/>
    </row>
    <row r="8" spans="1:8" x14ac:dyDescent="0.3">
      <c r="A8" s="30">
        <v>7</v>
      </c>
      <c r="B8" s="67" t="s">
        <v>137</v>
      </c>
      <c r="C8" s="102"/>
      <c r="D8" s="68" t="s">
        <v>131</v>
      </c>
      <c r="E8" s="69">
        <v>10.5</v>
      </c>
      <c r="F8" s="69">
        <v>2</v>
      </c>
      <c r="G8" s="73"/>
      <c r="H8" s="69"/>
    </row>
    <row r="9" spans="1:8" x14ac:dyDescent="0.3">
      <c r="A9" s="30">
        <v>8</v>
      </c>
      <c r="B9" s="67" t="s">
        <v>138</v>
      </c>
      <c r="C9" s="102"/>
      <c r="D9" s="68" t="s">
        <v>131</v>
      </c>
      <c r="E9" s="69">
        <v>10.5</v>
      </c>
      <c r="F9" s="69">
        <v>2</v>
      </c>
      <c r="G9" s="73"/>
      <c r="H9" s="69"/>
    </row>
    <row r="10" spans="1:8" x14ac:dyDescent="0.3">
      <c r="A10" s="30">
        <v>9</v>
      </c>
      <c r="B10" s="67" t="s">
        <v>139</v>
      </c>
      <c r="C10" s="102"/>
      <c r="D10" s="68" t="s">
        <v>131</v>
      </c>
      <c r="E10" s="69">
        <v>10.5</v>
      </c>
      <c r="F10" s="69">
        <v>2</v>
      </c>
      <c r="G10" s="73"/>
      <c r="H10" s="69"/>
    </row>
    <row r="11" spans="1:8" x14ac:dyDescent="0.3">
      <c r="A11" s="30">
        <v>10</v>
      </c>
      <c r="B11" s="67" t="s">
        <v>140</v>
      </c>
      <c r="C11" s="102"/>
      <c r="D11" s="68" t="s">
        <v>131</v>
      </c>
      <c r="E11" s="69">
        <v>10.5</v>
      </c>
      <c r="F11" s="69">
        <v>2</v>
      </c>
      <c r="G11" s="73"/>
      <c r="H11" s="69"/>
    </row>
    <row r="12" spans="1:8" x14ac:dyDescent="0.3">
      <c r="A12" s="30">
        <v>11</v>
      </c>
      <c r="B12" s="67" t="s">
        <v>141</v>
      </c>
      <c r="C12" s="102"/>
      <c r="D12" s="68" t="s">
        <v>131</v>
      </c>
      <c r="E12" s="69">
        <v>10.5</v>
      </c>
      <c r="F12" s="69">
        <v>2</v>
      </c>
      <c r="G12" s="73"/>
      <c r="H12" s="69"/>
    </row>
    <row r="13" spans="1:8" x14ac:dyDescent="0.3">
      <c r="A13" s="30">
        <v>12</v>
      </c>
      <c r="B13" s="67" t="s">
        <v>142</v>
      </c>
      <c r="C13" s="102"/>
      <c r="D13" s="68" t="s">
        <v>131</v>
      </c>
      <c r="E13" s="69">
        <v>10.5</v>
      </c>
      <c r="F13" s="69">
        <v>2</v>
      </c>
      <c r="G13" s="73"/>
      <c r="H13" s="69"/>
    </row>
    <row r="14" spans="1:8" x14ac:dyDescent="0.3">
      <c r="A14" s="30">
        <v>13</v>
      </c>
      <c r="B14" s="67" t="s">
        <v>143</v>
      </c>
      <c r="C14" s="102"/>
      <c r="D14" s="68" t="s">
        <v>131</v>
      </c>
      <c r="E14" s="69">
        <v>10.5</v>
      </c>
      <c r="F14" s="69">
        <v>2</v>
      </c>
      <c r="G14" s="73"/>
      <c r="H14" s="69"/>
    </row>
    <row r="15" spans="1:8" x14ac:dyDescent="0.3">
      <c r="A15" s="30">
        <v>14</v>
      </c>
      <c r="B15" s="67" t="s">
        <v>144</v>
      </c>
      <c r="C15" s="102"/>
      <c r="D15" s="68" t="s">
        <v>131</v>
      </c>
      <c r="E15" s="69">
        <v>10.5</v>
      </c>
      <c r="F15" s="69">
        <v>3</v>
      </c>
      <c r="G15" s="73"/>
      <c r="H15" s="69"/>
    </row>
    <row r="16" spans="1:8" x14ac:dyDescent="0.3">
      <c r="A16" s="30">
        <v>15</v>
      </c>
      <c r="B16" s="67" t="s">
        <v>145</v>
      </c>
      <c r="C16" s="102"/>
      <c r="D16" s="68" t="s">
        <v>131</v>
      </c>
      <c r="E16" s="69">
        <v>10.5</v>
      </c>
      <c r="F16" s="69">
        <v>3</v>
      </c>
      <c r="G16" s="73"/>
      <c r="H16" s="69"/>
    </row>
    <row r="17" spans="1:8" x14ac:dyDescent="0.3">
      <c r="A17" s="30">
        <v>16</v>
      </c>
      <c r="B17" s="67" t="s">
        <v>104</v>
      </c>
      <c r="C17" s="102"/>
      <c r="D17" s="68"/>
      <c r="E17" s="69">
        <v>15</v>
      </c>
      <c r="F17" s="69">
        <v>15</v>
      </c>
      <c r="G17" s="73"/>
      <c r="H17" s="69"/>
    </row>
    <row r="18" spans="1:8" x14ac:dyDescent="0.3">
      <c r="A18" s="69"/>
      <c r="B18" s="69"/>
      <c r="C18" s="69"/>
      <c r="D18" s="69"/>
      <c r="E18" s="69"/>
      <c r="F18" s="69"/>
      <c r="G18" s="69"/>
      <c r="H18" s="69"/>
    </row>
    <row r="19" spans="1:8" x14ac:dyDescent="0.3">
      <c r="A19" s="69"/>
      <c r="B19" s="69"/>
      <c r="C19" s="69"/>
      <c r="D19" s="69"/>
      <c r="E19" s="69"/>
      <c r="F19" s="69"/>
      <c r="G19" s="69"/>
      <c r="H19" s="69"/>
    </row>
    <row r="20" spans="1:8" x14ac:dyDescent="0.3">
      <c r="A20" s="69"/>
      <c r="B20" s="69"/>
      <c r="C20" s="69"/>
      <c r="D20" s="69"/>
      <c r="E20" s="69"/>
      <c r="F20" s="69"/>
      <c r="G20" s="69"/>
      <c r="H20" s="69"/>
    </row>
    <row r="21" spans="1:8" x14ac:dyDescent="0.3">
      <c r="A21" s="69"/>
      <c r="B21" s="69"/>
      <c r="C21" s="69"/>
      <c r="D21" s="69"/>
      <c r="E21" s="69"/>
      <c r="F21" s="69"/>
      <c r="G21" s="69"/>
      <c r="H21" s="69"/>
    </row>
    <row r="22" spans="1:8" x14ac:dyDescent="0.3">
      <c r="A22" s="69"/>
      <c r="B22" s="69"/>
      <c r="C22" s="69"/>
      <c r="D22" s="69"/>
      <c r="E22" s="69"/>
      <c r="F22" s="69"/>
      <c r="G22" s="69"/>
      <c r="H22"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ADA62-B9AF-4DBB-8F5E-1F1537FE6A12}">
  <dimension ref="A1:N32"/>
  <sheetViews>
    <sheetView zoomScale="76" workbookViewId="0">
      <selection activeCell="D31" sqref="D31"/>
    </sheetView>
  </sheetViews>
  <sheetFormatPr defaultRowHeight="14.4" x14ac:dyDescent="0.3"/>
  <cols>
    <col min="3" max="3" width="12.44140625" customWidth="1"/>
    <col min="4" max="4" width="27.5546875" customWidth="1"/>
    <col min="5" max="5" width="28" customWidth="1"/>
    <col min="6" max="6" width="21.88671875" bestFit="1" customWidth="1"/>
    <col min="7" max="7" width="17.88671875" bestFit="1" customWidth="1"/>
    <col min="8" max="8" width="17" bestFit="1" customWidth="1"/>
    <col min="9" max="11" width="28.5546875" customWidth="1"/>
    <col min="12" max="12" width="10.33203125" customWidth="1"/>
    <col min="13" max="14" width="9.6640625" customWidth="1"/>
    <col min="15" max="15" width="10.109375" customWidth="1"/>
    <col min="16" max="16" width="9.6640625" customWidth="1"/>
    <col min="17" max="17" width="10" customWidth="1"/>
    <col min="18" max="18" width="9.6640625" customWidth="1"/>
    <col min="19" max="19" width="10.44140625" customWidth="1"/>
    <col min="20" max="20" width="10.33203125" customWidth="1"/>
  </cols>
  <sheetData>
    <row r="1" spans="1:14" x14ac:dyDescent="0.3">
      <c r="A1" s="30" t="s">
        <v>123</v>
      </c>
      <c r="B1" s="30" t="s">
        <v>124</v>
      </c>
      <c r="C1" s="101" t="s">
        <v>125</v>
      </c>
      <c r="D1" s="30" t="s">
        <v>146</v>
      </c>
      <c r="E1" s="30" t="s">
        <v>3</v>
      </c>
      <c r="F1" s="30" t="s">
        <v>147</v>
      </c>
      <c r="G1" s="30" t="s">
        <v>148</v>
      </c>
      <c r="H1" s="67" t="s">
        <v>149</v>
      </c>
      <c r="I1" s="30" t="s">
        <v>150</v>
      </c>
      <c r="J1" s="30" t="s">
        <v>151</v>
      </c>
      <c r="K1" s="30" t="s">
        <v>152</v>
      </c>
      <c r="L1" s="84" t="s">
        <v>153</v>
      </c>
      <c r="M1" s="84" t="s">
        <v>154</v>
      </c>
      <c r="N1" s="84" t="s">
        <v>155</v>
      </c>
    </row>
    <row r="2" spans="1:14" x14ac:dyDescent="0.3">
      <c r="A2" s="30">
        <v>1</v>
      </c>
      <c r="B2" s="67" t="s">
        <v>134</v>
      </c>
      <c r="C2" s="102">
        <v>45670</v>
      </c>
      <c r="D2" s="100" t="s">
        <v>156</v>
      </c>
      <c r="E2" s="30" t="s">
        <v>157</v>
      </c>
      <c r="F2" s="30" t="s">
        <v>158</v>
      </c>
      <c r="G2" s="30" t="s">
        <v>159</v>
      </c>
      <c r="H2" s="67" t="s">
        <v>160</v>
      </c>
      <c r="I2" s="30"/>
      <c r="J2" s="30"/>
      <c r="K2" s="67"/>
      <c r="L2" s="68">
        <v>500</v>
      </c>
      <c r="M2" s="68"/>
      <c r="N2" s="68"/>
    </row>
    <row r="3" spans="1:14" x14ac:dyDescent="0.3">
      <c r="A3" s="30">
        <v>2</v>
      </c>
      <c r="B3" s="67" t="s">
        <v>135</v>
      </c>
      <c r="C3" s="102">
        <v>45686</v>
      </c>
      <c r="D3" s="100" t="s">
        <v>161</v>
      </c>
      <c r="E3" s="30" t="s">
        <v>162</v>
      </c>
      <c r="F3" s="30" t="s">
        <v>163</v>
      </c>
      <c r="G3" s="30" t="s">
        <v>158</v>
      </c>
      <c r="H3" s="67"/>
      <c r="I3" s="30"/>
      <c r="J3" s="30"/>
      <c r="K3" s="67"/>
      <c r="L3" s="68">
        <v>262</v>
      </c>
      <c r="M3" s="68">
        <v>483</v>
      </c>
      <c r="N3" s="68">
        <v>200</v>
      </c>
    </row>
    <row r="4" spans="1:14" x14ac:dyDescent="0.3">
      <c r="A4" s="30">
        <v>3</v>
      </c>
      <c r="B4" s="67" t="s">
        <v>136</v>
      </c>
      <c r="C4" s="102">
        <v>45709</v>
      </c>
      <c r="D4" s="100" t="s">
        <v>161</v>
      </c>
      <c r="E4" s="30" t="s">
        <v>162</v>
      </c>
      <c r="F4" s="30" t="s">
        <v>164</v>
      </c>
      <c r="G4" s="75" t="s">
        <v>165</v>
      </c>
      <c r="H4" s="67"/>
      <c r="I4" s="30"/>
      <c r="J4" s="30"/>
      <c r="K4" s="67"/>
      <c r="L4" s="68">
        <v>262</v>
      </c>
      <c r="M4" s="68">
        <v>165</v>
      </c>
      <c r="N4" s="68">
        <v>0</v>
      </c>
    </row>
    <row r="5" spans="1:14" x14ac:dyDescent="0.3">
      <c r="A5" s="30">
        <v>4</v>
      </c>
      <c r="B5" s="67" t="s">
        <v>166</v>
      </c>
      <c r="C5" s="102">
        <v>45709</v>
      </c>
      <c r="D5" s="100" t="s">
        <v>161</v>
      </c>
      <c r="E5" s="30" t="s">
        <v>162</v>
      </c>
      <c r="F5" s="30" t="s">
        <v>167</v>
      </c>
      <c r="G5" s="30" t="s">
        <v>168</v>
      </c>
      <c r="H5" s="67" t="s">
        <v>164</v>
      </c>
      <c r="I5" s="30"/>
      <c r="J5" s="30"/>
      <c r="K5" s="67"/>
      <c r="L5" s="68">
        <v>1</v>
      </c>
      <c r="M5" s="68">
        <v>318</v>
      </c>
      <c r="N5" s="68">
        <v>300</v>
      </c>
    </row>
    <row r="6" spans="1:14" x14ac:dyDescent="0.3">
      <c r="A6" s="30">
        <v>5</v>
      </c>
      <c r="B6" s="67" t="s">
        <v>169</v>
      </c>
      <c r="C6" s="102">
        <v>45714</v>
      </c>
      <c r="D6" s="100" t="s">
        <v>161</v>
      </c>
      <c r="E6" s="30" t="s">
        <v>162</v>
      </c>
      <c r="F6" s="30" t="s">
        <v>164</v>
      </c>
      <c r="G6" s="30"/>
      <c r="H6" s="67" t="s">
        <v>170</v>
      </c>
      <c r="I6" s="30"/>
      <c r="J6" s="30"/>
      <c r="K6" s="67"/>
      <c r="L6" s="68">
        <v>1</v>
      </c>
      <c r="M6" s="68">
        <v>1</v>
      </c>
      <c r="N6" s="68">
        <v>200</v>
      </c>
    </row>
    <row r="7" spans="1:14" x14ac:dyDescent="0.3">
      <c r="A7" s="30">
        <v>6</v>
      </c>
      <c r="B7" s="67" t="s">
        <v>171</v>
      </c>
      <c r="C7" s="102">
        <v>45714</v>
      </c>
      <c r="D7" s="100" t="s">
        <v>161</v>
      </c>
      <c r="E7" s="30" t="s">
        <v>162</v>
      </c>
      <c r="F7" s="30" t="s">
        <v>164</v>
      </c>
      <c r="G7" s="30"/>
      <c r="H7" s="67" t="s">
        <v>172</v>
      </c>
      <c r="I7" s="30"/>
      <c r="J7" s="30"/>
      <c r="K7" s="67"/>
      <c r="L7" s="68">
        <v>1</v>
      </c>
      <c r="M7" s="68">
        <v>1</v>
      </c>
      <c r="N7" s="68">
        <v>150</v>
      </c>
    </row>
    <row r="8" spans="1:14" x14ac:dyDescent="0.3">
      <c r="A8" s="30">
        <v>7</v>
      </c>
      <c r="B8" s="30" t="s">
        <v>137</v>
      </c>
      <c r="C8" s="102">
        <v>45716</v>
      </c>
      <c r="D8" s="30" t="s">
        <v>173</v>
      </c>
      <c r="E8" s="30" t="s">
        <v>174</v>
      </c>
      <c r="F8" s="30" t="s">
        <v>175</v>
      </c>
      <c r="G8" s="30" t="s">
        <v>176</v>
      </c>
      <c r="H8" s="67" t="s">
        <v>177</v>
      </c>
      <c r="I8" s="30" t="s">
        <v>178</v>
      </c>
      <c r="J8" s="30" t="s">
        <v>179</v>
      </c>
      <c r="K8" s="67" t="s">
        <v>180</v>
      </c>
      <c r="L8" s="68">
        <v>262</v>
      </c>
      <c r="M8" s="68">
        <v>483</v>
      </c>
      <c r="N8" s="68">
        <v>550</v>
      </c>
    </row>
    <row r="9" spans="1:14" x14ac:dyDescent="0.3">
      <c r="A9" s="30">
        <v>8</v>
      </c>
      <c r="B9" s="30" t="s">
        <v>138</v>
      </c>
      <c r="C9" s="102">
        <v>45720</v>
      </c>
      <c r="D9" s="30" t="s">
        <v>181</v>
      </c>
      <c r="E9" s="30" t="s">
        <v>182</v>
      </c>
      <c r="F9" s="30" t="s">
        <v>183</v>
      </c>
      <c r="G9" s="30"/>
      <c r="H9" s="67" t="s">
        <v>183</v>
      </c>
      <c r="I9" s="30" t="s">
        <v>184</v>
      </c>
      <c r="J9" s="30"/>
      <c r="K9" s="67" t="s">
        <v>185</v>
      </c>
      <c r="L9" s="68">
        <v>1</v>
      </c>
      <c r="M9" s="68">
        <v>1</v>
      </c>
      <c r="N9" s="68">
        <v>20</v>
      </c>
    </row>
    <row r="10" spans="1:14" x14ac:dyDescent="0.3">
      <c r="A10" s="30">
        <v>9</v>
      </c>
      <c r="B10" s="30" t="s">
        <v>139</v>
      </c>
      <c r="C10" s="102">
        <v>45720</v>
      </c>
      <c r="D10" s="30" t="s">
        <v>186</v>
      </c>
      <c r="E10" s="30" t="s">
        <v>187</v>
      </c>
      <c r="F10" s="30" t="s">
        <v>175</v>
      </c>
      <c r="G10" s="30" t="s">
        <v>188</v>
      </c>
      <c r="H10" s="67" t="s">
        <v>189</v>
      </c>
      <c r="I10" s="30" t="s">
        <v>190</v>
      </c>
      <c r="J10" s="30" t="s">
        <v>191</v>
      </c>
      <c r="K10" s="67" t="s">
        <v>192</v>
      </c>
      <c r="L10" s="68">
        <v>262</v>
      </c>
      <c r="M10" s="68">
        <v>483</v>
      </c>
      <c r="N10" s="68">
        <v>550</v>
      </c>
    </row>
    <row r="11" spans="1:14" x14ac:dyDescent="0.3">
      <c r="A11" s="30">
        <v>10</v>
      </c>
      <c r="B11" s="30" t="s">
        <v>140</v>
      </c>
      <c r="C11" s="102">
        <v>45721</v>
      </c>
      <c r="D11" s="30" t="s">
        <v>193</v>
      </c>
      <c r="E11" s="30" t="s">
        <v>194</v>
      </c>
      <c r="F11" s="30" t="s">
        <v>189</v>
      </c>
      <c r="G11" s="30" t="s">
        <v>195</v>
      </c>
      <c r="H11" s="97" t="s">
        <v>196</v>
      </c>
      <c r="I11" s="30" t="s">
        <v>197</v>
      </c>
      <c r="J11" s="30" t="s">
        <v>198</v>
      </c>
      <c r="K11" s="67" t="s">
        <v>199</v>
      </c>
      <c r="L11" s="68">
        <v>262</v>
      </c>
      <c r="M11" s="68">
        <v>192</v>
      </c>
      <c r="N11" s="68">
        <v>0</v>
      </c>
    </row>
    <row r="12" spans="1:14" x14ac:dyDescent="0.3">
      <c r="A12" s="98">
        <v>11</v>
      </c>
      <c r="B12" s="98" t="s">
        <v>200</v>
      </c>
      <c r="C12" s="102">
        <v>45721</v>
      </c>
      <c r="D12" s="30" t="s">
        <v>193</v>
      </c>
      <c r="E12" s="30" t="s">
        <v>194</v>
      </c>
      <c r="F12" s="30" t="s">
        <v>201</v>
      </c>
      <c r="G12" s="30" t="s">
        <v>202</v>
      </c>
      <c r="H12" s="99" t="s">
        <v>196</v>
      </c>
      <c r="I12" s="30" t="s">
        <v>203</v>
      </c>
      <c r="J12" s="30" t="s">
        <v>204</v>
      </c>
      <c r="K12" s="30" t="s">
        <v>205</v>
      </c>
      <c r="L12" s="96">
        <v>1</v>
      </c>
      <c r="M12" s="96">
        <v>291</v>
      </c>
      <c r="N12" s="96">
        <v>272</v>
      </c>
    </row>
    <row r="13" spans="1:14" x14ac:dyDescent="0.3">
      <c r="A13" s="30">
        <v>12</v>
      </c>
      <c r="B13" s="30" t="s">
        <v>141</v>
      </c>
      <c r="C13" s="102">
        <v>45722</v>
      </c>
      <c r="D13" s="30" t="s">
        <v>206</v>
      </c>
      <c r="E13" s="30" t="s">
        <v>207</v>
      </c>
      <c r="F13" s="75" t="s">
        <v>196</v>
      </c>
      <c r="G13" s="30"/>
      <c r="H13" s="30"/>
      <c r="I13" s="30"/>
      <c r="J13" s="30"/>
      <c r="K13" s="30"/>
      <c r="L13" s="68">
        <v>2</v>
      </c>
      <c r="M13" s="68">
        <v>0</v>
      </c>
      <c r="N13" s="68">
        <v>0</v>
      </c>
    </row>
    <row r="14" spans="1:14" x14ac:dyDescent="0.3">
      <c r="A14" s="98">
        <v>13</v>
      </c>
      <c r="B14" s="98" t="s">
        <v>142</v>
      </c>
      <c r="C14" s="102">
        <v>45722</v>
      </c>
      <c r="D14" s="30" t="s">
        <v>206</v>
      </c>
      <c r="E14" s="30" t="s">
        <v>207</v>
      </c>
      <c r="F14" s="75" t="s">
        <v>196</v>
      </c>
      <c r="G14" s="30"/>
      <c r="H14" s="30"/>
      <c r="I14" s="30"/>
      <c r="J14" s="30"/>
      <c r="K14" s="30"/>
      <c r="L14" s="68">
        <v>4</v>
      </c>
      <c r="M14" s="68">
        <v>0</v>
      </c>
      <c r="N14" s="68">
        <v>0</v>
      </c>
    </row>
    <row r="15" spans="1:14" x14ac:dyDescent="0.3">
      <c r="A15" s="30">
        <v>14</v>
      </c>
      <c r="B15" s="30" t="s">
        <v>208</v>
      </c>
      <c r="C15" s="102">
        <v>45724</v>
      </c>
      <c r="D15" s="30" t="s">
        <v>193</v>
      </c>
      <c r="E15" s="30" t="s">
        <v>194</v>
      </c>
      <c r="F15" s="30" t="s">
        <v>209</v>
      </c>
      <c r="G15" s="30"/>
      <c r="H15" s="30" t="s">
        <v>210</v>
      </c>
      <c r="I15" s="30" t="s">
        <v>211</v>
      </c>
      <c r="J15" s="30"/>
      <c r="K15" s="30" t="s">
        <v>212</v>
      </c>
      <c r="L15" s="68">
        <v>1</v>
      </c>
      <c r="M15" s="68">
        <v>1</v>
      </c>
      <c r="N15" s="68">
        <v>278</v>
      </c>
    </row>
    <row r="16" spans="1:14" x14ac:dyDescent="0.3">
      <c r="A16" s="30">
        <v>15</v>
      </c>
      <c r="B16" s="30" t="s">
        <v>142</v>
      </c>
      <c r="C16" s="102">
        <v>45724</v>
      </c>
      <c r="D16" s="30" t="s">
        <v>206</v>
      </c>
      <c r="E16" s="30" t="s">
        <v>207</v>
      </c>
      <c r="F16" s="30" t="s">
        <v>213</v>
      </c>
      <c r="G16" s="30" t="s">
        <v>214</v>
      </c>
      <c r="H16" s="30" t="s">
        <v>215</v>
      </c>
      <c r="I16" s="30" t="s">
        <v>216</v>
      </c>
      <c r="J16" s="30" t="s">
        <v>217</v>
      </c>
      <c r="K16" s="30" t="s">
        <v>205</v>
      </c>
      <c r="L16" s="68">
        <v>258</v>
      </c>
      <c r="M16" s="68">
        <v>483</v>
      </c>
      <c r="N16" s="68">
        <v>550</v>
      </c>
    </row>
    <row r="17" spans="1:14" x14ac:dyDescent="0.3">
      <c r="A17" s="30">
        <v>16</v>
      </c>
      <c r="B17" s="30" t="s">
        <v>138</v>
      </c>
      <c r="C17" s="102">
        <v>45726</v>
      </c>
      <c r="D17" s="30" t="s">
        <v>218</v>
      </c>
      <c r="E17" s="30" t="s">
        <v>219</v>
      </c>
      <c r="F17" s="30" t="s">
        <v>220</v>
      </c>
      <c r="G17" s="30" t="s">
        <v>201</v>
      </c>
      <c r="H17" s="30" t="s">
        <v>215</v>
      </c>
      <c r="I17" s="30" t="s">
        <v>191</v>
      </c>
      <c r="J17" s="30" t="s">
        <v>178</v>
      </c>
      <c r="K17" s="30" t="s">
        <v>221</v>
      </c>
      <c r="L17" s="68">
        <v>240</v>
      </c>
      <c r="M17" s="68">
        <v>483</v>
      </c>
      <c r="N17" s="68">
        <v>550</v>
      </c>
    </row>
    <row r="18" spans="1:14" x14ac:dyDescent="0.3">
      <c r="A18" s="30">
        <v>17</v>
      </c>
      <c r="B18" s="30" t="s">
        <v>144</v>
      </c>
      <c r="C18" s="102">
        <v>45727</v>
      </c>
      <c r="D18" s="30" t="s">
        <v>181</v>
      </c>
      <c r="E18" s="30" t="s">
        <v>182</v>
      </c>
      <c r="F18" s="30" t="s">
        <v>189</v>
      </c>
      <c r="G18" s="30" t="s">
        <v>222</v>
      </c>
      <c r="H18" s="99" t="s">
        <v>196</v>
      </c>
      <c r="I18" s="30" t="s">
        <v>223</v>
      </c>
      <c r="J18" s="30" t="s">
        <v>224</v>
      </c>
      <c r="K18" s="30" t="s">
        <v>225</v>
      </c>
      <c r="L18" s="68">
        <v>262</v>
      </c>
      <c r="M18" s="68">
        <v>478</v>
      </c>
      <c r="N18" s="68">
        <v>0</v>
      </c>
    </row>
    <row r="19" spans="1:14" x14ac:dyDescent="0.3">
      <c r="A19" s="30">
        <v>18</v>
      </c>
      <c r="B19" s="30" t="s">
        <v>141</v>
      </c>
      <c r="C19" s="102">
        <v>45729</v>
      </c>
      <c r="D19" s="30" t="s">
        <v>226</v>
      </c>
      <c r="E19" s="30" t="s">
        <v>227</v>
      </c>
      <c r="F19" s="30" t="s">
        <v>170</v>
      </c>
      <c r="G19" s="30" t="s">
        <v>209</v>
      </c>
      <c r="H19" s="30" t="s">
        <v>228</v>
      </c>
      <c r="I19" s="30" t="s">
        <v>229</v>
      </c>
      <c r="J19" s="30" t="s">
        <v>179</v>
      </c>
      <c r="K19" s="30" t="s">
        <v>230</v>
      </c>
      <c r="L19" s="68">
        <v>260</v>
      </c>
      <c r="M19" s="68">
        <v>483</v>
      </c>
      <c r="N19" s="68">
        <v>550</v>
      </c>
    </row>
    <row r="20" spans="1:14" x14ac:dyDescent="0.3">
      <c r="A20" s="30">
        <v>19</v>
      </c>
      <c r="B20" s="30" t="s">
        <v>145</v>
      </c>
      <c r="C20" s="102">
        <v>45730</v>
      </c>
      <c r="D20" s="30" t="s">
        <v>231</v>
      </c>
      <c r="E20" s="30" t="s">
        <v>232</v>
      </c>
      <c r="F20" s="30" t="s">
        <v>172</v>
      </c>
      <c r="G20" s="30" t="s">
        <v>170</v>
      </c>
      <c r="H20" s="30" t="s">
        <v>233</v>
      </c>
      <c r="I20" s="30" t="s">
        <v>234</v>
      </c>
      <c r="J20" s="30" t="s">
        <v>235</v>
      </c>
      <c r="K20" s="30" t="s">
        <v>236</v>
      </c>
      <c r="L20" s="68">
        <v>262</v>
      </c>
      <c r="M20" s="68">
        <v>483</v>
      </c>
      <c r="N20" s="68">
        <v>550</v>
      </c>
    </row>
    <row r="21" spans="1:14" x14ac:dyDescent="0.3">
      <c r="A21" s="101">
        <v>20</v>
      </c>
      <c r="B21" s="101" t="s">
        <v>144</v>
      </c>
      <c r="C21" s="108">
        <v>45732</v>
      </c>
      <c r="D21" s="101" t="s">
        <v>237</v>
      </c>
      <c r="E21" s="101" t="s">
        <v>238</v>
      </c>
      <c r="F21" s="101" t="s">
        <v>239</v>
      </c>
      <c r="G21" s="101" t="s">
        <v>188</v>
      </c>
      <c r="H21" s="101" t="s">
        <v>168</v>
      </c>
      <c r="I21" s="101" t="s">
        <v>240</v>
      </c>
      <c r="J21" s="101" t="s">
        <v>241</v>
      </c>
      <c r="K21" s="101" t="s">
        <v>242</v>
      </c>
      <c r="L21" s="109">
        <v>0</v>
      </c>
      <c r="M21" s="109">
        <v>5</v>
      </c>
      <c r="N21" s="109">
        <v>550</v>
      </c>
    </row>
    <row r="22" spans="1:14" x14ac:dyDescent="0.3">
      <c r="A22" s="84">
        <v>21</v>
      </c>
      <c r="B22" s="84" t="s">
        <v>143</v>
      </c>
      <c r="C22" s="102">
        <v>45732</v>
      </c>
      <c r="D22" s="84" t="s">
        <v>181</v>
      </c>
      <c r="E22" s="84" t="s">
        <v>182</v>
      </c>
      <c r="F22" s="84" t="s">
        <v>243</v>
      </c>
      <c r="G22" s="84" t="s">
        <v>244</v>
      </c>
      <c r="H22" s="84" t="s">
        <v>245</v>
      </c>
      <c r="I22" s="84" t="s">
        <v>190</v>
      </c>
      <c r="J22" s="84" t="s">
        <v>246</v>
      </c>
      <c r="K22" s="84" t="s">
        <v>247</v>
      </c>
      <c r="L22" s="68">
        <v>262</v>
      </c>
      <c r="M22" s="68">
        <v>483</v>
      </c>
      <c r="N22" s="68">
        <v>550</v>
      </c>
    </row>
    <row r="23" spans="1:14" x14ac:dyDescent="0.3">
      <c r="A23" s="30"/>
      <c r="B23" s="30"/>
      <c r="C23" s="30"/>
      <c r="D23" s="30"/>
      <c r="E23" s="30"/>
      <c r="F23" s="30"/>
      <c r="G23" s="30"/>
      <c r="H23" s="30"/>
      <c r="I23" s="30"/>
      <c r="J23" s="30"/>
      <c r="K23" s="30"/>
      <c r="L23" s="30"/>
      <c r="M23" s="30"/>
      <c r="N23" s="30"/>
    </row>
    <row r="24" spans="1:14" x14ac:dyDescent="0.3">
      <c r="A24" s="30"/>
      <c r="B24" s="30"/>
      <c r="C24" s="30"/>
      <c r="D24" s="30"/>
      <c r="E24" s="30"/>
      <c r="F24" s="30"/>
      <c r="G24" s="30"/>
      <c r="H24" s="30"/>
      <c r="I24" s="30"/>
      <c r="J24" s="30"/>
      <c r="K24" s="30"/>
      <c r="L24" s="30"/>
      <c r="M24" s="30"/>
      <c r="N24" s="30"/>
    </row>
    <row r="25" spans="1:14" x14ac:dyDescent="0.3">
      <c r="A25" s="30"/>
      <c r="B25" s="30"/>
      <c r="C25" s="30"/>
      <c r="D25" s="30"/>
      <c r="E25" s="30"/>
      <c r="F25" s="30"/>
      <c r="G25" s="30"/>
      <c r="H25" s="30"/>
      <c r="I25" s="30"/>
      <c r="J25" s="30"/>
      <c r="K25" s="30"/>
      <c r="L25" s="30"/>
      <c r="M25" s="30"/>
      <c r="N25" s="30"/>
    </row>
    <row r="26" spans="1:14" x14ac:dyDescent="0.3">
      <c r="A26" s="30"/>
      <c r="B26" s="30"/>
      <c r="C26" s="30"/>
      <c r="D26" s="30"/>
      <c r="E26" s="30"/>
      <c r="F26" s="30"/>
      <c r="G26" s="30"/>
      <c r="H26" s="30"/>
      <c r="I26" s="30"/>
      <c r="J26" s="30"/>
      <c r="K26" s="30"/>
      <c r="L26" s="30"/>
      <c r="M26" s="30"/>
      <c r="N26" s="30"/>
    </row>
    <row r="27" spans="1:14" x14ac:dyDescent="0.3">
      <c r="A27" s="30"/>
      <c r="B27" s="30"/>
      <c r="C27" s="30"/>
      <c r="D27" s="30"/>
      <c r="E27" s="30"/>
      <c r="F27" s="30"/>
      <c r="G27" s="30"/>
      <c r="H27" s="30"/>
      <c r="I27" s="30"/>
      <c r="J27" s="30"/>
      <c r="K27" s="30"/>
      <c r="L27" s="30"/>
      <c r="M27" s="30"/>
      <c r="N27" s="30"/>
    </row>
    <row r="28" spans="1:14" x14ac:dyDescent="0.3">
      <c r="A28" s="30"/>
      <c r="B28" s="30"/>
      <c r="C28" s="30"/>
      <c r="D28" s="30"/>
      <c r="E28" s="30"/>
      <c r="F28" s="30"/>
      <c r="G28" s="30"/>
      <c r="H28" s="30"/>
      <c r="I28" s="30"/>
      <c r="J28" s="30"/>
      <c r="K28" s="30"/>
      <c r="L28" s="30"/>
      <c r="M28" s="30"/>
      <c r="N28" s="30"/>
    </row>
    <row r="29" spans="1:14" x14ac:dyDescent="0.3">
      <c r="A29" s="30"/>
      <c r="B29" s="30"/>
      <c r="C29" s="30"/>
      <c r="D29" s="30"/>
      <c r="E29" s="30"/>
      <c r="F29" s="30"/>
      <c r="G29" s="30"/>
      <c r="H29" s="30"/>
      <c r="I29" s="30"/>
      <c r="J29" s="30"/>
      <c r="K29" s="30"/>
      <c r="L29" s="30"/>
      <c r="M29" s="30"/>
      <c r="N29" s="30"/>
    </row>
    <row r="30" spans="1:14" x14ac:dyDescent="0.3">
      <c r="A30" s="30"/>
      <c r="B30" s="30"/>
      <c r="C30" s="30"/>
      <c r="D30" s="30"/>
      <c r="E30" s="30"/>
      <c r="F30" s="30"/>
      <c r="G30" s="30"/>
      <c r="H30" s="30"/>
      <c r="I30" s="30"/>
      <c r="J30" s="30"/>
      <c r="K30" s="30"/>
      <c r="L30" s="30"/>
      <c r="M30" s="30"/>
      <c r="N30" s="30"/>
    </row>
    <row r="31" spans="1:14" x14ac:dyDescent="0.3">
      <c r="A31" s="30"/>
      <c r="B31" s="30"/>
      <c r="C31" s="30"/>
      <c r="D31" s="30"/>
      <c r="E31" s="30"/>
      <c r="F31" s="30"/>
      <c r="G31" s="30"/>
      <c r="H31" s="30"/>
      <c r="I31" s="30"/>
      <c r="J31" s="30"/>
      <c r="K31" s="30"/>
      <c r="L31" s="30"/>
      <c r="M31" s="30"/>
      <c r="N31" s="30"/>
    </row>
    <row r="32" spans="1:14" x14ac:dyDescent="0.3">
      <c r="A32" s="30"/>
      <c r="B32" s="30"/>
      <c r="C32" s="30"/>
      <c r="D32" s="30"/>
      <c r="E32" s="30"/>
      <c r="F32" s="30"/>
      <c r="G32" s="30"/>
      <c r="H32" s="30"/>
      <c r="I32" s="30"/>
      <c r="J32" s="30"/>
      <c r="K32" s="30"/>
      <c r="L32" s="30"/>
      <c r="M32" s="30"/>
      <c r="N32"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164F-A777-4952-A84E-5366867B5503}">
  <dimension ref="A1:AL30"/>
  <sheetViews>
    <sheetView topLeftCell="J1" zoomScale="87" workbookViewId="0">
      <selection activeCell="R28" sqref="R28"/>
    </sheetView>
  </sheetViews>
  <sheetFormatPr defaultRowHeight="14.4" x14ac:dyDescent="0.3"/>
  <cols>
    <col min="1" max="1" width="10.6640625" customWidth="1"/>
    <col min="16" max="16" width="17.109375" customWidth="1"/>
    <col min="25" max="25" width="13.6640625" customWidth="1"/>
    <col min="37" max="37" width="13.44140625" customWidth="1"/>
    <col min="38" max="38" width="8.88671875" customWidth="1"/>
  </cols>
  <sheetData>
    <row r="1" spans="1:38" x14ac:dyDescent="0.3">
      <c r="A1" s="112" t="s">
        <v>248</v>
      </c>
      <c r="C1" s="94" t="s">
        <v>249</v>
      </c>
      <c r="D1">
        <v>500</v>
      </c>
      <c r="E1">
        <v>200</v>
      </c>
      <c r="F1">
        <v>100</v>
      </c>
      <c r="G1" s="105" t="s">
        <v>250</v>
      </c>
      <c r="H1">
        <v>500</v>
      </c>
      <c r="I1">
        <v>200</v>
      </c>
      <c r="J1">
        <v>100</v>
      </c>
      <c r="K1">
        <v>50</v>
      </c>
      <c r="L1">
        <v>25</v>
      </c>
      <c r="M1">
        <v>15</v>
      </c>
      <c r="N1">
        <v>10</v>
      </c>
      <c r="O1">
        <v>5</v>
      </c>
      <c r="P1" s="53" t="s">
        <v>251</v>
      </c>
      <c r="Q1">
        <v>500</v>
      </c>
      <c r="R1">
        <v>200</v>
      </c>
      <c r="S1">
        <v>100</v>
      </c>
      <c r="T1">
        <v>50</v>
      </c>
      <c r="U1">
        <v>25</v>
      </c>
      <c r="V1">
        <v>15</v>
      </c>
      <c r="W1">
        <v>10</v>
      </c>
      <c r="X1">
        <v>5</v>
      </c>
      <c r="Y1" s="106" t="s">
        <v>252</v>
      </c>
      <c r="Z1">
        <v>500</v>
      </c>
      <c r="AA1">
        <v>200</v>
      </c>
      <c r="AB1">
        <v>100</v>
      </c>
      <c r="AC1">
        <v>50</v>
      </c>
      <c r="AD1">
        <v>25</v>
      </c>
      <c r="AE1">
        <v>15</v>
      </c>
      <c r="AF1">
        <v>10</v>
      </c>
      <c r="AG1">
        <v>5</v>
      </c>
      <c r="AH1" s="107" t="s">
        <v>253</v>
      </c>
      <c r="AI1">
        <v>10</v>
      </c>
      <c r="AJ1">
        <v>5</v>
      </c>
      <c r="AK1" s="113" t="s">
        <v>254</v>
      </c>
      <c r="AL1">
        <v>5</v>
      </c>
    </row>
    <row r="2" spans="1:38" x14ac:dyDescent="0.3">
      <c r="A2" s="112" t="s">
        <v>255</v>
      </c>
      <c r="B2">
        <f>'Drop gauge'!D5</f>
        <v>1019.9</v>
      </c>
      <c r="C2" s="94" t="s">
        <v>255</v>
      </c>
      <c r="D2">
        <f>'DOE data'!BB5</f>
        <v>741.9</v>
      </c>
      <c r="E2">
        <f>'DOE data'!BG5</f>
        <v>688.1</v>
      </c>
      <c r="F2">
        <f>'DOE data'!BL5</f>
        <v>579.1</v>
      </c>
      <c r="G2" s="105">
        <v>1087.5</v>
      </c>
      <c r="H2">
        <v>753.8</v>
      </c>
      <c r="I2">
        <v>716.3</v>
      </c>
      <c r="J2">
        <v>615</v>
      </c>
      <c r="K2">
        <v>513.79999999999995</v>
      </c>
      <c r="L2">
        <v>373.1</v>
      </c>
      <c r="M2">
        <v>153.80000000000001</v>
      </c>
      <c r="N2">
        <v>121.9</v>
      </c>
      <c r="O2">
        <v>131.30000000000001</v>
      </c>
      <c r="P2" s="53">
        <f t="shared" ref="P2:P9" si="0">G2/B2</f>
        <v>1.0662810079419551</v>
      </c>
      <c r="Q2">
        <f t="shared" ref="Q2:X3" si="1">H2/$P2</f>
        <v>706.94309885057464</v>
      </c>
      <c r="R2">
        <f t="shared" si="1"/>
        <v>671.77413333333322</v>
      </c>
      <c r="S2">
        <f t="shared" si="1"/>
        <v>576.77103448275864</v>
      </c>
      <c r="T2">
        <f t="shared" si="1"/>
        <v>481.86171954022984</v>
      </c>
      <c r="U2">
        <f t="shared" si="1"/>
        <v>349.90776091954024</v>
      </c>
      <c r="V2">
        <f t="shared" si="1"/>
        <v>144.23965057471264</v>
      </c>
      <c r="W2">
        <f t="shared" si="1"/>
        <v>114.32258390804598</v>
      </c>
      <c r="X2">
        <f t="shared" si="1"/>
        <v>123.13827126436782</v>
      </c>
      <c r="Y2" s="106">
        <f t="shared" ref="Y2:Y9" si="2">AVERAGE(H2/D2,I2/E2,J2/F2)</f>
        <v>1.0396716867578426</v>
      </c>
      <c r="Z2">
        <f>H2/$Y2</f>
        <v>725.03657606631828</v>
      </c>
      <c r="AA2">
        <f t="shared" ref="AA2:AG3" si="3">I2/$Y2</f>
        <v>688.9674972622762</v>
      </c>
      <c r="AB2">
        <f t="shared" si="3"/>
        <v>591.53289238629043</v>
      </c>
      <c r="AC2">
        <f t="shared" si="3"/>
        <v>494.1944717204488</v>
      </c>
      <c r="AD2">
        <f t="shared" si="3"/>
        <v>358.86328804768289</v>
      </c>
      <c r="AE2">
        <f t="shared" si="3"/>
        <v>147.93131520164468</v>
      </c>
      <c r="AF2">
        <f t="shared" si="3"/>
        <v>117.24855216567286</v>
      </c>
      <c r="AG2">
        <f t="shared" si="3"/>
        <v>126.28986791921942</v>
      </c>
      <c r="AH2" s="107"/>
      <c r="AI2">
        <v>118.84</v>
      </c>
      <c r="AJ2">
        <v>127.45</v>
      </c>
      <c r="AK2" s="113" t="s">
        <v>255</v>
      </c>
      <c r="AL2" s="49">
        <f>X2+'Drop gauge'!D14</f>
        <v>128.23827126436782</v>
      </c>
    </row>
    <row r="3" spans="1:38" x14ac:dyDescent="0.3">
      <c r="A3" s="112" t="s">
        <v>256</v>
      </c>
      <c r="B3">
        <f>'Drop gauge'!D6</f>
        <v>1012.7</v>
      </c>
      <c r="C3" s="94" t="s">
        <v>256</v>
      </c>
      <c r="D3">
        <f>'DOE data'!BB6</f>
        <v>817.7</v>
      </c>
      <c r="E3">
        <f>'DOE data'!BG6</f>
        <v>724.9</v>
      </c>
      <c r="F3">
        <f>'DOE data'!BL6</f>
        <v>635</v>
      </c>
      <c r="G3" s="105">
        <v>1061.3</v>
      </c>
      <c r="H3">
        <v>813.8</v>
      </c>
      <c r="I3">
        <v>768.8</v>
      </c>
      <c r="J3">
        <v>684.4</v>
      </c>
      <c r="K3">
        <v>581.29999999999995</v>
      </c>
      <c r="L3">
        <v>457.5</v>
      </c>
      <c r="M3">
        <v>373.1</v>
      </c>
      <c r="N3">
        <v>296.3</v>
      </c>
      <c r="O3">
        <v>226.9</v>
      </c>
      <c r="P3" s="53">
        <f t="shared" si="0"/>
        <v>1.0479905203910338</v>
      </c>
      <c r="Q3">
        <f t="shared" si="1"/>
        <v>776.5337416376143</v>
      </c>
      <c r="R3">
        <f t="shared" si="1"/>
        <v>733.59442193536233</v>
      </c>
      <c r="S3">
        <f t="shared" si="1"/>
        <v>653.05934231602748</v>
      </c>
      <c r="T3">
        <f t="shared" si="1"/>
        <v>554.68058984264576</v>
      </c>
      <c r="U3">
        <f t="shared" si="1"/>
        <v>436.54975030622825</v>
      </c>
      <c r="V3">
        <f t="shared" si="1"/>
        <v>356.01467068689345</v>
      </c>
      <c r="W3">
        <f t="shared" si="1"/>
        <v>282.73156506171676</v>
      </c>
      <c r="X3">
        <f t="shared" si="1"/>
        <v>216.50959200979932</v>
      </c>
      <c r="Y3" s="106">
        <f t="shared" si="2"/>
        <v>1.0445286258282918</v>
      </c>
      <c r="Z3">
        <f t="shared" ref="Z3" si="4">H3/$Y3</f>
        <v>779.10741733350937</v>
      </c>
      <c r="AA3">
        <f t="shared" si="3"/>
        <v>736.02578329565245</v>
      </c>
      <c r="AB3">
        <f t="shared" si="3"/>
        <v>655.22378523353871</v>
      </c>
      <c r="AC3">
        <f t="shared" si="3"/>
        <v>556.51897480458217</v>
      </c>
      <c r="AD3">
        <f t="shared" si="3"/>
        <v>437.99661271821157</v>
      </c>
      <c r="AE3">
        <f t="shared" si="3"/>
        <v>357.19461465609777</v>
      </c>
      <c r="AF3">
        <f t="shared" si="3"/>
        <v>283.66862589815537</v>
      </c>
      <c r="AG3">
        <f t="shared" si="3"/>
        <v>217.22717251532723</v>
      </c>
      <c r="AH3" s="107"/>
      <c r="AI3">
        <v>285.5</v>
      </c>
      <c r="AJ3">
        <v>227.8</v>
      </c>
      <c r="AK3" s="113" t="s">
        <v>256</v>
      </c>
      <c r="AL3">
        <f>X3</f>
        <v>216.50959200979932</v>
      </c>
    </row>
    <row r="4" spans="1:38" x14ac:dyDescent="0.3">
      <c r="A4" s="112" t="s">
        <v>257</v>
      </c>
      <c r="B4">
        <f>'Drop gauge'!D7</f>
        <v>1019</v>
      </c>
      <c r="C4" s="94" t="s">
        <v>257</v>
      </c>
      <c r="D4">
        <f>'DOE data'!BB7</f>
        <v>831.2</v>
      </c>
      <c r="E4">
        <f>'DOE data'!BG7</f>
        <v>746.3</v>
      </c>
      <c r="F4">
        <f>'DOE data'!BL7</f>
        <v>656</v>
      </c>
      <c r="G4" s="105">
        <v>1076.3</v>
      </c>
      <c r="H4">
        <v>817.5</v>
      </c>
      <c r="I4">
        <v>778.1</v>
      </c>
      <c r="J4">
        <v>690</v>
      </c>
      <c r="K4">
        <v>594.4</v>
      </c>
      <c r="L4">
        <v>480</v>
      </c>
      <c r="M4">
        <v>399.4</v>
      </c>
      <c r="N4">
        <v>339.4</v>
      </c>
      <c r="O4">
        <v>311.3</v>
      </c>
      <c r="P4" s="53">
        <f t="shared" si="0"/>
        <v>1.0562315996074583</v>
      </c>
      <c r="Q4">
        <f>H4/$P4</f>
        <v>773.97798011706777</v>
      </c>
      <c r="R4">
        <f t="shared" ref="R4:X9" si="5">I4/$P4</f>
        <v>736.67555514261824</v>
      </c>
      <c r="S4">
        <f t="shared" si="5"/>
        <v>653.2658180804608</v>
      </c>
      <c r="T4">
        <f t="shared" si="5"/>
        <v>562.75536560438536</v>
      </c>
      <c r="U4">
        <f t="shared" si="5"/>
        <v>454.44578649075538</v>
      </c>
      <c r="V4">
        <f t="shared" si="5"/>
        <v>378.13676484251602</v>
      </c>
      <c r="W4">
        <f t="shared" si="5"/>
        <v>321.33104153117159</v>
      </c>
      <c r="X4">
        <f t="shared" si="5"/>
        <v>294.72702778035864</v>
      </c>
      <c r="Y4" s="106">
        <f t="shared" si="2"/>
        <v>1.0259857614153793</v>
      </c>
      <c r="Z4">
        <f t="shared" ref="Z4" si="6">H4/$Y4</f>
        <v>796.79468345860209</v>
      </c>
      <c r="AA4">
        <f t="shared" ref="AA4:AA9" si="7">I4/$Y4</f>
        <v>758.39259106928228</v>
      </c>
      <c r="AB4">
        <f t="shared" ref="AB4:AB9" si="8">J4/$Y4</f>
        <v>672.5239530109302</v>
      </c>
      <c r="AC4">
        <f t="shared" ref="AC4:AC9" si="9">K4/$Y4</f>
        <v>579.34527198506794</v>
      </c>
      <c r="AD4">
        <f t="shared" ref="AD4:AD9" si="10">L4/$Y4</f>
        <v>467.84274992064707</v>
      </c>
      <c r="AE4">
        <f t="shared" ref="AE4:AE9" si="11">M4/$Y4</f>
        <v>389.28415482980506</v>
      </c>
      <c r="AF4">
        <f t="shared" ref="AF4:AF9" si="12">N4/$Y4</f>
        <v>330.80381108972421</v>
      </c>
      <c r="AG4">
        <f t="shared" ref="AG4:AG9" si="13">O4/$Y4</f>
        <v>303.41551677145299</v>
      </c>
      <c r="AH4" s="107"/>
      <c r="AI4">
        <v>333.8</v>
      </c>
      <c r="AJ4">
        <v>304.2</v>
      </c>
      <c r="AK4" s="113" t="s">
        <v>257</v>
      </c>
      <c r="AL4">
        <f>X4</f>
        <v>294.72702778035864</v>
      </c>
    </row>
    <row r="5" spans="1:38" x14ac:dyDescent="0.3">
      <c r="A5" s="112" t="s">
        <v>258</v>
      </c>
      <c r="B5">
        <f>'Drop gauge'!B8</f>
        <v>998.4</v>
      </c>
      <c r="C5" s="94" t="s">
        <v>258</v>
      </c>
      <c r="D5">
        <f>'DOE data'!BA8</f>
        <v>730.6</v>
      </c>
      <c r="E5">
        <f>'DOE data'!BF8</f>
        <v>653.1</v>
      </c>
      <c r="F5">
        <f>'DOE data'!BK8</f>
        <v>567.70000000000005</v>
      </c>
      <c r="G5" s="105">
        <v>1061.3</v>
      </c>
      <c r="H5">
        <v>740.6</v>
      </c>
      <c r="I5">
        <v>705</v>
      </c>
      <c r="J5">
        <v>615</v>
      </c>
      <c r="K5">
        <v>521.29999999999995</v>
      </c>
      <c r="L5">
        <v>414.4</v>
      </c>
      <c r="M5">
        <v>341.3</v>
      </c>
      <c r="N5">
        <v>281.3</v>
      </c>
      <c r="O5">
        <v>251.3</v>
      </c>
      <c r="P5" s="53">
        <f t="shared" si="0"/>
        <v>1.0630008012820513</v>
      </c>
      <c r="Q5">
        <f t="shared" ref="Q5:Q9" si="14">H5/$P5</f>
        <v>696.7069066239518</v>
      </c>
      <c r="R5">
        <f t="shared" si="5"/>
        <v>663.21680957316494</v>
      </c>
      <c r="S5">
        <f t="shared" si="5"/>
        <v>578.55083388297373</v>
      </c>
      <c r="T5">
        <f t="shared" si="5"/>
        <v>490.4041458588523</v>
      </c>
      <c r="U5">
        <f t="shared" si="5"/>
        <v>389.83978140016956</v>
      </c>
      <c r="V5">
        <f t="shared" si="5"/>
        <v>321.07219447846978</v>
      </c>
      <c r="W5">
        <f t="shared" si="5"/>
        <v>264.62821068500898</v>
      </c>
      <c r="X5">
        <f t="shared" si="5"/>
        <v>236.40621878827852</v>
      </c>
      <c r="Y5" s="106">
        <f t="shared" si="2"/>
        <v>1.0588243970305917</v>
      </c>
      <c r="Z5">
        <f t="shared" ref="Z5:Z9" si="15">H5/$Y5</f>
        <v>699.45498240970596</v>
      </c>
      <c r="AA5">
        <f t="shared" si="7"/>
        <v>665.83278773810787</v>
      </c>
      <c r="AB5">
        <f t="shared" si="8"/>
        <v>580.83285738856216</v>
      </c>
      <c r="AC5">
        <f t="shared" si="9"/>
        <v>492.33848545797957</v>
      </c>
      <c r="AD5">
        <f t="shared" si="10"/>
        <v>391.37745707613033</v>
      </c>
      <c r="AE5">
        <f t="shared" si="11"/>
        <v>322.33862475888827</v>
      </c>
      <c r="AF5">
        <f t="shared" si="12"/>
        <v>265.6720045258578</v>
      </c>
      <c r="AG5">
        <f t="shared" si="13"/>
        <v>237.33869440934257</v>
      </c>
      <c r="AH5" s="107"/>
      <c r="AI5">
        <v>275.60000000000002</v>
      </c>
      <c r="AJ5">
        <v>245.6</v>
      </c>
      <c r="AK5" s="113" t="s">
        <v>258</v>
      </c>
      <c r="AL5">
        <f>X5</f>
        <v>236.40621878827852</v>
      </c>
    </row>
    <row r="6" spans="1:38" x14ac:dyDescent="0.3">
      <c r="A6" s="112" t="s">
        <v>259</v>
      </c>
      <c r="B6">
        <f>'Drop gauge'!D9</f>
        <v>1017.1</v>
      </c>
      <c r="C6" s="94" t="s">
        <v>259</v>
      </c>
      <c r="D6">
        <f>'DOE data'!BB9</f>
        <v>816.5</v>
      </c>
      <c r="E6">
        <f>'DOE data'!BG9</f>
        <v>732.3</v>
      </c>
      <c r="F6">
        <f>'DOE data'!BL9</f>
        <v>638.29999999999995</v>
      </c>
      <c r="G6" s="105">
        <v>1083.8</v>
      </c>
      <c r="H6">
        <v>828.8</v>
      </c>
      <c r="I6">
        <v>787.6</v>
      </c>
      <c r="J6">
        <v>686.3</v>
      </c>
      <c r="K6">
        <v>581.29999999999995</v>
      </c>
      <c r="L6">
        <v>453.9</v>
      </c>
      <c r="M6">
        <v>363.8</v>
      </c>
      <c r="N6">
        <v>258.8</v>
      </c>
      <c r="O6">
        <v>180</v>
      </c>
      <c r="P6" s="53">
        <f t="shared" si="0"/>
        <v>1.0655786058401338</v>
      </c>
      <c r="Q6">
        <f t="shared" si="14"/>
        <v>777.79339361505811</v>
      </c>
      <c r="R6">
        <f t="shared" si="5"/>
        <v>739.128953681491</v>
      </c>
      <c r="S6">
        <f t="shared" si="5"/>
        <v>644.06323122347294</v>
      </c>
      <c r="T6">
        <f t="shared" si="5"/>
        <v>545.52521682967335</v>
      </c>
      <c r="U6">
        <f t="shared" si="5"/>
        <v>425.9657593651965</v>
      </c>
      <c r="V6">
        <f t="shared" si="5"/>
        <v>341.41075844251708</v>
      </c>
      <c r="W6">
        <f t="shared" si="5"/>
        <v>242.87274404871746</v>
      </c>
      <c r="X6">
        <f t="shared" si="5"/>
        <v>168.92231038937072</v>
      </c>
      <c r="Y6" s="106">
        <f t="shared" si="2"/>
        <v>1.0552598490943506</v>
      </c>
      <c r="Z6">
        <f t="shared" si="15"/>
        <v>785.39897136358979</v>
      </c>
      <c r="AA6">
        <f t="shared" si="7"/>
        <v>746.35645492997514</v>
      </c>
      <c r="AB6">
        <f t="shared" si="8"/>
        <v>650.36114146577188</v>
      </c>
      <c r="AC6">
        <f t="shared" si="9"/>
        <v>550.85958259369545</v>
      </c>
      <c r="AD6">
        <f t="shared" si="10"/>
        <v>430.13102449557607</v>
      </c>
      <c r="AE6">
        <f t="shared" si="11"/>
        <v>344.74921064439428</v>
      </c>
      <c r="AF6">
        <f t="shared" si="12"/>
        <v>245.24765177231788</v>
      </c>
      <c r="AG6">
        <f t="shared" si="13"/>
        <v>170.57410092355957</v>
      </c>
      <c r="AH6" s="107"/>
      <c r="AI6">
        <v>253.6</v>
      </c>
      <c r="AJ6">
        <v>174.8</v>
      </c>
      <c r="AK6" s="113" t="s">
        <v>259</v>
      </c>
      <c r="AL6">
        <f>X6</f>
        <v>168.92231038937072</v>
      </c>
    </row>
    <row r="7" spans="1:38" x14ac:dyDescent="0.3">
      <c r="A7" s="112" t="s">
        <v>260</v>
      </c>
      <c r="B7">
        <f>'Drop gauge'!B10</f>
        <v>929.82</v>
      </c>
      <c r="C7" s="94" t="s">
        <v>260</v>
      </c>
      <c r="D7">
        <f>'DOE data'!BA10</f>
        <v>697.1</v>
      </c>
      <c r="E7">
        <f>'DOE data'!BF10</f>
        <v>610.29999999999995</v>
      </c>
      <c r="F7">
        <f>'DOE data'!BK10</f>
        <v>515.70000000000005</v>
      </c>
      <c r="G7" s="105">
        <v>969.4</v>
      </c>
      <c r="H7">
        <v>720</v>
      </c>
      <c r="I7">
        <v>631.9</v>
      </c>
      <c r="J7">
        <v>543.79999999999995</v>
      </c>
      <c r="K7">
        <v>444.4</v>
      </c>
      <c r="L7">
        <v>311.3</v>
      </c>
      <c r="M7">
        <v>221.3</v>
      </c>
      <c r="N7">
        <v>120</v>
      </c>
      <c r="O7">
        <v>82.5</v>
      </c>
      <c r="P7" s="53">
        <f t="shared" si="0"/>
        <v>1.0425673786324234</v>
      </c>
      <c r="Q7">
        <f t="shared" si="14"/>
        <v>690.60284712193118</v>
      </c>
      <c r="R7">
        <f t="shared" si="5"/>
        <v>606.09991541159479</v>
      </c>
      <c r="S7">
        <f t="shared" si="5"/>
        <v>521.59698370125852</v>
      </c>
      <c r="T7">
        <f t="shared" si="5"/>
        <v>426.25542397359192</v>
      </c>
      <c r="U7">
        <f t="shared" si="5"/>
        <v>298.58981431813493</v>
      </c>
      <c r="V7">
        <f t="shared" si="5"/>
        <v>212.26445842789357</v>
      </c>
      <c r="W7">
        <f t="shared" si="5"/>
        <v>115.10047452032185</v>
      </c>
      <c r="X7">
        <f t="shared" si="5"/>
        <v>79.131576232721272</v>
      </c>
      <c r="Y7" s="106">
        <f t="shared" si="2"/>
        <v>1.0409106180388807</v>
      </c>
      <c r="Z7">
        <f t="shared" si="15"/>
        <v>691.70204196447742</v>
      </c>
      <c r="AA7">
        <f t="shared" si="7"/>
        <v>607.06461155187958</v>
      </c>
      <c r="AB7">
        <f t="shared" si="8"/>
        <v>522.42718113928163</v>
      </c>
      <c r="AC7">
        <f t="shared" si="9"/>
        <v>426.93387145696352</v>
      </c>
      <c r="AD7">
        <f t="shared" si="10"/>
        <v>299.06506342158588</v>
      </c>
      <c r="AE7">
        <f t="shared" si="11"/>
        <v>212.60230817602618</v>
      </c>
      <c r="AF7">
        <f t="shared" si="12"/>
        <v>115.28367366074623</v>
      </c>
      <c r="AG7">
        <f t="shared" si="13"/>
        <v>79.257525641763038</v>
      </c>
      <c r="AH7" s="107"/>
      <c r="AI7">
        <v>115.8</v>
      </c>
      <c r="AJ7">
        <v>79.2</v>
      </c>
      <c r="AK7" s="113" t="s">
        <v>260</v>
      </c>
      <c r="AL7" s="49">
        <f>X7+'Drop gauge'!B19</f>
        <v>176.21157623272131</v>
      </c>
    </row>
    <row r="8" spans="1:38" x14ac:dyDescent="0.3">
      <c r="A8" s="112" t="s">
        <v>261</v>
      </c>
      <c r="B8">
        <f>'Drop gauge'!D11</f>
        <v>971.38</v>
      </c>
      <c r="C8" s="94" t="s">
        <v>261</v>
      </c>
      <c r="D8">
        <f>'DOE data'!BB11</f>
        <v>704.6</v>
      </c>
      <c r="E8">
        <f>'DOE data'!BG11</f>
        <v>633.29999999999995</v>
      </c>
      <c r="F8">
        <f>'DOE data'!BL11</f>
        <v>551.20000000000005</v>
      </c>
      <c r="G8" s="105">
        <v>1042.5</v>
      </c>
      <c r="H8">
        <v>710.6</v>
      </c>
      <c r="I8">
        <v>684.4</v>
      </c>
      <c r="J8">
        <v>596.29999999999995</v>
      </c>
      <c r="K8">
        <v>515.6</v>
      </c>
      <c r="L8">
        <v>401.3</v>
      </c>
      <c r="M8">
        <v>337.5</v>
      </c>
      <c r="N8">
        <v>277.5</v>
      </c>
      <c r="O8">
        <v>253.1</v>
      </c>
      <c r="P8" s="53">
        <f t="shared" si="0"/>
        <v>1.0732154254771562</v>
      </c>
      <c r="Q8">
        <f t="shared" si="14"/>
        <v>662.12242494004795</v>
      </c>
      <c r="R8">
        <f t="shared" si="5"/>
        <v>637.70980527577933</v>
      </c>
      <c r="S8">
        <f t="shared" si="5"/>
        <v>555.62004220623498</v>
      </c>
      <c r="T8">
        <f t="shared" si="5"/>
        <v>480.42544652278178</v>
      </c>
      <c r="U8">
        <f t="shared" si="5"/>
        <v>373.92306378896882</v>
      </c>
      <c r="V8">
        <f t="shared" si="5"/>
        <v>314.47553956834531</v>
      </c>
      <c r="W8">
        <f t="shared" si="5"/>
        <v>258.56877697841725</v>
      </c>
      <c r="X8">
        <f t="shared" si="5"/>
        <v>235.83336019184651</v>
      </c>
      <c r="Y8" s="106">
        <f t="shared" si="2"/>
        <v>1.0570084691545645</v>
      </c>
      <c r="Z8">
        <f t="shared" si="15"/>
        <v>672.27465127915661</v>
      </c>
      <c r="AA8">
        <f t="shared" si="7"/>
        <v>647.48771648670811</v>
      </c>
      <c r="AB8">
        <f t="shared" si="8"/>
        <v>564.1392830815663</v>
      </c>
      <c r="AC8">
        <f t="shared" si="9"/>
        <v>487.79173965597124</v>
      </c>
      <c r="AD8">
        <f t="shared" si="10"/>
        <v>379.65637145838105</v>
      </c>
      <c r="AE8">
        <f t="shared" si="11"/>
        <v>319.29734704012856</v>
      </c>
      <c r="AF8">
        <f t="shared" si="12"/>
        <v>262.53337423299462</v>
      </c>
      <c r="AG8">
        <f t="shared" si="13"/>
        <v>239.44935862476012</v>
      </c>
      <c r="AH8" s="107"/>
      <c r="AI8">
        <v>274.2</v>
      </c>
      <c r="AJ8">
        <v>248.4</v>
      </c>
      <c r="AK8" s="113" t="s">
        <v>261</v>
      </c>
      <c r="AL8" s="49">
        <f>X8+'Drop gauge'!D20</f>
        <v>289.45336019184651</v>
      </c>
    </row>
    <row r="9" spans="1:38" x14ac:dyDescent="0.3">
      <c r="A9" s="112" t="s">
        <v>262</v>
      </c>
      <c r="B9">
        <f>'Drop gauge'!B12</f>
        <v>1022.5</v>
      </c>
      <c r="C9" s="94" t="s">
        <v>262</v>
      </c>
      <c r="D9">
        <f>'DOE data'!BA12</f>
        <v>738.4</v>
      </c>
      <c r="E9">
        <f>'DOE data'!BF12</f>
        <v>662.4</v>
      </c>
      <c r="F9">
        <f>'DOE data'!BK12</f>
        <v>578.6</v>
      </c>
      <c r="G9" s="105">
        <v>1095</v>
      </c>
      <c r="H9">
        <v>753.8</v>
      </c>
      <c r="I9">
        <v>714.4</v>
      </c>
      <c r="J9">
        <v>624.4</v>
      </c>
      <c r="K9">
        <v>540</v>
      </c>
      <c r="L9">
        <v>431.3</v>
      </c>
      <c r="M9">
        <v>352.5</v>
      </c>
      <c r="N9">
        <v>290.60000000000002</v>
      </c>
      <c r="O9">
        <v>255</v>
      </c>
      <c r="P9" s="53">
        <f t="shared" si="0"/>
        <v>1.0709046454767726</v>
      </c>
      <c r="Q9">
        <f t="shared" si="14"/>
        <v>703.89086757990867</v>
      </c>
      <c r="R9">
        <f t="shared" si="5"/>
        <v>667.09954337899546</v>
      </c>
      <c r="S9">
        <f t="shared" si="5"/>
        <v>583.05844748858453</v>
      </c>
      <c r="T9">
        <f t="shared" si="5"/>
        <v>504.2465753424658</v>
      </c>
      <c r="U9">
        <f t="shared" si="5"/>
        <v>402.74360730593611</v>
      </c>
      <c r="V9">
        <f t="shared" si="5"/>
        <v>329.16095890410963</v>
      </c>
      <c r="W9">
        <f t="shared" si="5"/>
        <v>271.35936073059366</v>
      </c>
      <c r="X9">
        <f t="shared" si="5"/>
        <v>238.11643835616439</v>
      </c>
      <c r="Y9" s="106">
        <f t="shared" si="2"/>
        <v>1.0595049683258886</v>
      </c>
      <c r="Z9">
        <f t="shared" si="15"/>
        <v>711.46433715272758</v>
      </c>
      <c r="AA9">
        <f t="shared" si="7"/>
        <v>674.27715901022634</v>
      </c>
      <c r="AB9">
        <f t="shared" si="8"/>
        <v>589.33182822786296</v>
      </c>
      <c r="AC9">
        <f t="shared" si="9"/>
        <v>509.67198469418003</v>
      </c>
      <c r="AD9">
        <f t="shared" si="10"/>
        <v>407.076901849259</v>
      </c>
      <c r="AE9">
        <f t="shared" si="11"/>
        <v>332.70254556425641</v>
      </c>
      <c r="AF9">
        <f t="shared" si="12"/>
        <v>274.2790347261643</v>
      </c>
      <c r="AG9">
        <f t="shared" si="13"/>
        <v>240.67843721669612</v>
      </c>
      <c r="AH9" s="107"/>
      <c r="AI9">
        <v>281.3</v>
      </c>
      <c r="AJ9">
        <v>244.7</v>
      </c>
      <c r="AK9" s="113" t="s">
        <v>262</v>
      </c>
      <c r="AL9">
        <f>X9</f>
        <v>238.11643835616439</v>
      </c>
    </row>
    <row r="23" spans="24:28" x14ac:dyDescent="0.3">
      <c r="X23" s="114"/>
      <c r="Y23" s="114"/>
      <c r="Z23" s="114"/>
      <c r="AA23" s="114"/>
      <c r="AB23" s="114"/>
    </row>
    <row r="24" spans="24:28" x14ac:dyDescent="0.3">
      <c r="X24" s="114"/>
      <c r="Y24" s="114"/>
      <c r="Z24" s="114"/>
      <c r="AA24" s="114"/>
      <c r="AB24" s="114"/>
    </row>
    <row r="25" spans="24:28" x14ac:dyDescent="0.3">
      <c r="X25" s="114"/>
      <c r="Y25" s="114"/>
      <c r="Z25" s="114"/>
      <c r="AA25" s="114"/>
      <c r="AB25" s="114"/>
    </row>
    <row r="26" spans="24:28" x14ac:dyDescent="0.3">
      <c r="X26" s="114"/>
      <c r="Y26" s="114"/>
      <c r="Z26" s="114"/>
      <c r="AA26" s="114"/>
      <c r="AB26" s="114"/>
    </row>
    <row r="27" spans="24:28" x14ac:dyDescent="0.3">
      <c r="X27" s="114"/>
      <c r="Y27" s="114"/>
      <c r="Z27" s="114"/>
      <c r="AA27" s="114"/>
      <c r="AB27" s="114"/>
    </row>
    <row r="28" spans="24:28" x14ac:dyDescent="0.3">
      <c r="X28" s="114"/>
      <c r="Y28" s="114"/>
      <c r="Z28" s="114"/>
      <c r="AA28" s="114"/>
      <c r="AB28" s="114"/>
    </row>
    <row r="29" spans="24:28" x14ac:dyDescent="0.3">
      <c r="X29" s="114"/>
      <c r="Y29" s="114"/>
      <c r="Z29" s="114"/>
      <c r="AA29" s="114"/>
      <c r="AB29" s="114"/>
    </row>
    <row r="30" spans="24:28" x14ac:dyDescent="0.3">
      <c r="X30" s="114"/>
      <c r="Y30" s="114"/>
      <c r="Z30" s="114"/>
      <c r="AA30" s="114"/>
      <c r="AB30" s="1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AC3EC-C72B-45FA-89F1-7EB7B6F175E6}">
  <dimension ref="A1:P19"/>
  <sheetViews>
    <sheetView zoomScale="87" workbookViewId="0">
      <selection activeCell="F15" sqref="F15"/>
    </sheetView>
  </sheetViews>
  <sheetFormatPr defaultRowHeight="14.4" x14ac:dyDescent="0.3"/>
  <cols>
    <col min="1" max="2" width="19.33203125" customWidth="1"/>
    <col min="3" max="3" width="17.33203125" customWidth="1"/>
    <col min="4" max="4" width="12.88671875" customWidth="1"/>
    <col min="5" max="5" width="16.6640625" customWidth="1"/>
    <col min="6" max="6" width="11.6640625" customWidth="1"/>
    <col min="7" max="7" width="13" customWidth="1"/>
    <col min="8" max="8" width="11.33203125" customWidth="1"/>
    <col min="9" max="9" width="11.6640625" customWidth="1"/>
    <col min="10" max="12" width="14.33203125" customWidth="1"/>
    <col min="14" max="14" width="17.33203125" customWidth="1"/>
    <col min="15" max="15" width="19.88671875" customWidth="1"/>
  </cols>
  <sheetData>
    <row r="1" spans="1:16" x14ac:dyDescent="0.3">
      <c r="A1" t="s">
        <v>74</v>
      </c>
      <c r="B1" t="s">
        <v>263</v>
      </c>
      <c r="C1" t="s">
        <v>264</v>
      </c>
      <c r="D1" t="s">
        <v>265</v>
      </c>
      <c r="E1" t="s">
        <v>266</v>
      </c>
      <c r="F1" t="s">
        <v>267</v>
      </c>
      <c r="G1" t="s">
        <v>268</v>
      </c>
      <c r="H1" t="s">
        <v>269</v>
      </c>
      <c r="I1" t="s">
        <v>270</v>
      </c>
      <c r="J1" t="s">
        <v>271</v>
      </c>
      <c r="K1" t="s">
        <v>272</v>
      </c>
    </row>
    <row r="2" spans="1:16" x14ac:dyDescent="0.3">
      <c r="A2" t="s">
        <v>134</v>
      </c>
      <c r="B2">
        <v>500</v>
      </c>
      <c r="C2" s="27">
        <f>'batch 1 data'!AE7</f>
        <v>2</v>
      </c>
      <c r="D2">
        <f>('batch 1 data'!F7/1000)</f>
        <v>3.9750000000000001</v>
      </c>
      <c r="E2" s="19">
        <f t="shared" ref="E2:E7" si="0">C2+D2</f>
        <v>5.9749999999999996</v>
      </c>
      <c r="F2" s="19">
        <f>'batch 1 data'!AY7/1000</f>
        <v>2.2705000000000002</v>
      </c>
      <c r="G2" s="19">
        <f>'batch 1 data'!AL7</f>
        <v>6.6818000000000008</v>
      </c>
      <c r="H2" s="18">
        <f>'batch 1 data'!BF7</f>
        <v>299.36200000000002</v>
      </c>
      <c r="I2" s="18">
        <f t="shared" ref="I2:I7" si="1">(H2-F2)-(G2-E2)</f>
        <v>296.38470000000001</v>
      </c>
      <c r="J2">
        <f t="shared" ref="J2:J7" si="2">I2/B2</f>
        <v>0.5927694</v>
      </c>
      <c r="K2">
        <f>(D2-F2)/(B2-(C2/0.013))</f>
        <v>4.92411111111111E-3</v>
      </c>
    </row>
    <row r="3" spans="1:16" x14ac:dyDescent="0.3">
      <c r="A3" t="s">
        <v>135</v>
      </c>
      <c r="B3">
        <v>945</v>
      </c>
      <c r="C3" s="27">
        <f>'batch 1 data'!AE8</f>
        <v>1.7290199999999998</v>
      </c>
      <c r="D3">
        <f>('batch 1 data'!F8/1000)</f>
        <v>4.0750000000000002</v>
      </c>
      <c r="E3" s="19">
        <f t="shared" si="0"/>
        <v>5.8040199999999995</v>
      </c>
      <c r="F3" s="19">
        <f>'batch 1 data'!AY8/1000</f>
        <v>1.4383800000000002</v>
      </c>
      <c r="G3" s="19">
        <f>'batch 1 data'!AL8</f>
        <v>6.2322000000000006</v>
      </c>
      <c r="H3" s="18">
        <f>'batch 1 data'!BF8</f>
        <v>597.82400000000007</v>
      </c>
      <c r="I3" s="18">
        <f t="shared" si="1"/>
        <v>595.95744000000002</v>
      </c>
      <c r="J3">
        <f t="shared" si="2"/>
        <v>0.63064279365079368</v>
      </c>
      <c r="K3">
        <f>(D3-F3)/(B3-(C3/0.013))</f>
        <v>3.2470751176110597E-3</v>
      </c>
    </row>
    <row r="4" spans="1:16" x14ac:dyDescent="0.3">
      <c r="A4" t="s">
        <v>136</v>
      </c>
      <c r="B4">
        <v>1045</v>
      </c>
      <c r="C4" s="27">
        <f>'batch 1 data'!AE9</f>
        <v>2.1169599999999997</v>
      </c>
      <c r="D4">
        <f>('batch 1 data'!F9/1000)</f>
        <v>4.0250000000000004</v>
      </c>
      <c r="E4" s="19">
        <f t="shared" si="0"/>
        <v>6.1419600000000001</v>
      </c>
      <c r="F4" s="19">
        <f>'batch 1 data'!AY9/1000</f>
        <v>1.2174400000000001</v>
      </c>
      <c r="G4" s="19">
        <f>'batch 1 data'!AL9</f>
        <v>6.5165999999999995</v>
      </c>
      <c r="H4" s="18">
        <f>'batch 1 data'!BF9</f>
        <v>639.47799999999995</v>
      </c>
      <c r="I4" s="18">
        <f t="shared" si="1"/>
        <v>637.88591999999994</v>
      </c>
      <c r="J4">
        <f t="shared" si="2"/>
        <v>0.61041714832535876</v>
      </c>
      <c r="K4">
        <f>(D4-F4)/(B4-(C4/0.013))</f>
        <v>3.1826083620217585E-3</v>
      </c>
    </row>
    <row r="5" spans="1:16" x14ac:dyDescent="0.3">
      <c r="A5" t="s">
        <v>169</v>
      </c>
      <c r="B5">
        <v>200</v>
      </c>
      <c r="C5" s="27">
        <f>'batch 1 data'!AE10</f>
        <v>0</v>
      </c>
      <c r="D5" s="19">
        <f>F4</f>
        <v>1.2174400000000001</v>
      </c>
      <c r="E5" s="19">
        <f t="shared" si="0"/>
        <v>1.2174400000000001</v>
      </c>
      <c r="F5" s="19">
        <f>'batch 1 data'!AY10/1000</f>
        <v>0.47546000000000005</v>
      </c>
      <c r="G5" s="19">
        <f>H4</f>
        <v>639.47799999999995</v>
      </c>
      <c r="H5" s="18">
        <f>'batch 1 data'!BF10</f>
        <v>760</v>
      </c>
      <c r="I5" s="18">
        <f t="shared" si="1"/>
        <v>121.26398000000006</v>
      </c>
      <c r="J5">
        <f t="shared" si="2"/>
        <v>0.60631990000000036</v>
      </c>
      <c r="K5">
        <f>(D5-F5)/(B5)</f>
        <v>3.7099000000000004E-3</v>
      </c>
    </row>
    <row r="6" spans="1:16" x14ac:dyDescent="0.3">
      <c r="A6" t="s">
        <v>171</v>
      </c>
      <c r="B6">
        <v>150</v>
      </c>
      <c r="C6" s="27">
        <f>'batch 1 data'!AE11</f>
        <v>0</v>
      </c>
      <c r="D6" s="19">
        <f>F5</f>
        <v>0.47546000000000005</v>
      </c>
      <c r="E6" s="19">
        <f t="shared" si="0"/>
        <v>0.47546000000000005</v>
      </c>
      <c r="F6" s="19">
        <f>'batch 1 data'!AY11/1000</f>
        <v>2.0536000000000002E-2</v>
      </c>
      <c r="G6" s="18">
        <f>H5</f>
        <v>760</v>
      </c>
      <c r="H6" s="18">
        <v>850</v>
      </c>
      <c r="I6" s="18">
        <f t="shared" si="1"/>
        <v>90.454924000000005</v>
      </c>
      <c r="J6">
        <f t="shared" si="2"/>
        <v>0.60303282666666669</v>
      </c>
      <c r="K6">
        <f>(D6-F6)/(B6-(C6/0.013))</f>
        <v>3.0328266666666669E-3</v>
      </c>
    </row>
    <row r="7" spans="1:16" x14ac:dyDescent="0.3">
      <c r="A7" t="s">
        <v>137</v>
      </c>
      <c r="B7">
        <v>1295</v>
      </c>
      <c r="C7" s="27">
        <f>'batch 1 data'!AE12</f>
        <v>2.3641199999999998</v>
      </c>
      <c r="D7">
        <f>('batch 1 data'!F12/1000)</f>
        <v>4.0750000000000002</v>
      </c>
      <c r="E7" s="19">
        <f t="shared" si="0"/>
        <v>6.43912</v>
      </c>
      <c r="F7" s="19">
        <f>'batch 1 data'!AY12/1000</f>
        <v>0.47230600000000006</v>
      </c>
      <c r="G7" s="19">
        <f>'batch 1 data'!AL12</f>
        <v>6.692400000000001</v>
      </c>
      <c r="H7" s="18">
        <f>'batch 1 data'!BF12</f>
        <v>800</v>
      </c>
      <c r="I7" s="18">
        <f t="shared" si="1"/>
        <v>799.27441399999998</v>
      </c>
      <c r="J7">
        <f t="shared" si="2"/>
        <v>0.61720031969111966</v>
      </c>
      <c r="K7">
        <f>(D7-F7)/(B7-(C7/0.013))</f>
        <v>3.2365013046891412E-3</v>
      </c>
    </row>
    <row r="9" spans="1:16" x14ac:dyDescent="0.3">
      <c r="A9" t="s">
        <v>273</v>
      </c>
    </row>
    <row r="10" spans="1:16" x14ac:dyDescent="0.3">
      <c r="A10" t="s">
        <v>74</v>
      </c>
      <c r="B10" t="s">
        <v>263</v>
      </c>
      <c r="C10" t="s">
        <v>264</v>
      </c>
      <c r="D10" t="s">
        <v>265</v>
      </c>
      <c r="E10" t="s">
        <v>266</v>
      </c>
      <c r="F10" t="s">
        <v>267</v>
      </c>
      <c r="G10" t="s">
        <v>268</v>
      </c>
      <c r="H10" t="s">
        <v>269</v>
      </c>
      <c r="I10" t="s">
        <v>270</v>
      </c>
      <c r="J10" t="s">
        <v>271</v>
      </c>
      <c r="K10" t="s">
        <v>272</v>
      </c>
    </row>
    <row r="11" spans="1:16" x14ac:dyDescent="0.3">
      <c r="A11" t="s">
        <v>138</v>
      </c>
      <c r="B11">
        <v>1295</v>
      </c>
      <c r="C11" s="20">
        <f>('DOE data'!AL5-('DOE data'!F5/1000))-('DOE data'!$AL$10-('DOE data'!$F$10/1000))</f>
        <v>2.2485999999999997</v>
      </c>
      <c r="D11" s="19">
        <f>'DOE data'!F3/1000</f>
        <v>4.0250000000000004</v>
      </c>
      <c r="E11" s="19">
        <f>C11+D11</f>
        <v>6.2736000000000001</v>
      </c>
      <c r="F11" s="20">
        <f>'DOE data'!AY5/1000</f>
        <v>2.8995E-2</v>
      </c>
      <c r="G11">
        <f>'DOE data'!AL5</f>
        <v>6.6923999999999992</v>
      </c>
      <c r="H11">
        <f>'DOE data'!BD5</f>
        <v>726.46666666666658</v>
      </c>
      <c r="I11" s="18">
        <f t="shared" ref="I11:I13" si="3">(H11-F11)-(G11-E11)</f>
        <v>726.01887166666654</v>
      </c>
      <c r="J11">
        <f t="shared" ref="J11:J13" si="4">I11/B11</f>
        <v>0.56063233333333329</v>
      </c>
      <c r="K11">
        <f>(D11-F11)/(B11-(C11/0.013))</f>
        <v>3.5614041161630013E-3</v>
      </c>
      <c r="M11" s="94" t="s">
        <v>200</v>
      </c>
      <c r="N11" t="s">
        <v>84</v>
      </c>
      <c r="O11" t="s">
        <v>87</v>
      </c>
      <c r="P11" t="s">
        <v>86</v>
      </c>
    </row>
    <row r="12" spans="1:16" x14ac:dyDescent="0.3">
      <c r="A12" t="s">
        <v>139</v>
      </c>
      <c r="B12">
        <v>1295</v>
      </c>
      <c r="C12" s="20">
        <f>('DOE data'!AL6-('DOE data'!F6/1000))-('DOE data'!$AL$10-('DOE data'!$F$10/1000))</f>
        <v>2.729200000000001</v>
      </c>
      <c r="D12" s="19">
        <f>'DOE data'!F4/1000</f>
        <v>4.0750000000000002</v>
      </c>
      <c r="E12" s="19">
        <f t="shared" ref="E12:E18" si="5">C12+D12</f>
        <v>6.8042000000000016</v>
      </c>
      <c r="F12">
        <f>'DOE data'!AY6/1000</f>
        <v>0.52400000000000002</v>
      </c>
      <c r="G12">
        <f>'DOE data'!AL6</f>
        <v>7.2090000000000005</v>
      </c>
      <c r="H12">
        <f>'DOE data'!BD6</f>
        <v>823.23333333333323</v>
      </c>
      <c r="I12" s="18">
        <f t="shared" si="3"/>
        <v>822.30453333333321</v>
      </c>
      <c r="J12">
        <f t="shared" si="4"/>
        <v>0.6349841956241955</v>
      </c>
      <c r="K12">
        <f>(D12-F12)/(B12-(C12/0.013))</f>
        <v>3.2726254448524721E-3</v>
      </c>
      <c r="M12">
        <v>500</v>
      </c>
      <c r="N12">
        <v>654.79999999999995</v>
      </c>
      <c r="O12">
        <v>652.9</v>
      </c>
      <c r="P12">
        <v>658.9</v>
      </c>
    </row>
    <row r="13" spans="1:16" x14ac:dyDescent="0.3">
      <c r="A13" t="s">
        <v>140</v>
      </c>
      <c r="B13">
        <v>1295</v>
      </c>
      <c r="C13">
        <f>'DOE data'!AE7</f>
        <v>1.6585999999999999</v>
      </c>
      <c r="D13" s="19">
        <f>'DOE data'!F5/1000</f>
        <v>3.9750000000000001</v>
      </c>
      <c r="E13" s="19">
        <f t="shared" si="5"/>
        <v>5.6335999999999995</v>
      </c>
      <c r="F13">
        <f>'DOE data'!AY7/1000</f>
        <v>0.11189999999999999</v>
      </c>
      <c r="G13">
        <f>'DOE data'!AL7</f>
        <v>6.4888000000000003</v>
      </c>
      <c r="H13">
        <f>'DOE data'!BD7</f>
        <v>834.4</v>
      </c>
      <c r="I13" s="18">
        <f t="shared" si="3"/>
        <v>833.43290000000002</v>
      </c>
      <c r="J13">
        <f t="shared" si="4"/>
        <v>0.64357752895752895</v>
      </c>
      <c r="K13">
        <f>(D13-F13)/(B13-(C13/0.013))</f>
        <v>3.3091049260694236E-3</v>
      </c>
      <c r="M13">
        <v>200</v>
      </c>
      <c r="N13">
        <v>588.79999999999995</v>
      </c>
      <c r="O13">
        <v>591.29999999999995</v>
      </c>
      <c r="P13">
        <v>592.9</v>
      </c>
    </row>
    <row r="14" spans="1:16" x14ac:dyDescent="0.3">
      <c r="A14" t="s">
        <v>141</v>
      </c>
      <c r="B14">
        <v>1295</v>
      </c>
      <c r="C14">
        <f>'DOE data'!AE8</f>
        <v>1.88182</v>
      </c>
      <c r="D14" s="19">
        <f>'DOE data'!F6/1000</f>
        <v>4.0110000000000001</v>
      </c>
      <c r="E14" s="19">
        <f t="shared" si="5"/>
        <v>5.8928200000000004</v>
      </c>
      <c r="G14">
        <f>'DOE data'!AL8</f>
        <v>6.3816000000000006</v>
      </c>
      <c r="M14">
        <v>100</v>
      </c>
      <c r="N14">
        <v>523.20000000000005</v>
      </c>
      <c r="O14">
        <v>527.79999999999995</v>
      </c>
      <c r="P14">
        <v>525.5</v>
      </c>
    </row>
    <row r="15" spans="1:16" x14ac:dyDescent="0.3">
      <c r="A15" t="s">
        <v>142</v>
      </c>
      <c r="B15">
        <v>1295</v>
      </c>
      <c r="C15" s="20">
        <f>('DOE data'!AL9-('DOE data'!F9/1000))-('DOE data'!$AL$10-('DOE data'!$F$10/1000))</f>
        <v>2.5595999999999992</v>
      </c>
      <c r="D15" s="19">
        <f>'DOE data'!F7/1000</f>
        <v>4.0910000000000002</v>
      </c>
      <c r="E15" s="19">
        <f t="shared" si="5"/>
        <v>6.650599999999999</v>
      </c>
      <c r="F15">
        <f>'DOE data'!AY9/1000</f>
        <v>0.42771999999999999</v>
      </c>
      <c r="G15">
        <f>'DOE data'!AL9</f>
        <v>7.1193999999999988</v>
      </c>
      <c r="H15">
        <f>'DOE data'!BD9</f>
        <v>822.13333333333333</v>
      </c>
      <c r="I15" s="18">
        <f t="shared" ref="I15" si="6">(H15-F15)-(G15-E15)</f>
        <v>821.23681333333332</v>
      </c>
      <c r="J15">
        <f t="shared" ref="J15" si="7">I15/B15</f>
        <v>0.63415970141570144</v>
      </c>
      <c r="K15">
        <f>(D15-F15)/(B15-(C15/0.013))</f>
        <v>3.3359933872255769E-3</v>
      </c>
    </row>
    <row r="16" spans="1:16" x14ac:dyDescent="0.3">
      <c r="A16" t="s">
        <v>143</v>
      </c>
      <c r="B16">
        <v>1295</v>
      </c>
      <c r="C16" s="20">
        <f>('DOE data'!AL10-('DOE data'!F10/1000))-('DOE data'!$AL$10-('DOE data'!$F$10/1000))</f>
        <v>0</v>
      </c>
      <c r="D16" s="19">
        <f>'DOE data'!F8/1000</f>
        <v>4.0810000000000004</v>
      </c>
      <c r="E16" s="19">
        <f t="shared" si="5"/>
        <v>4.0810000000000004</v>
      </c>
      <c r="G16">
        <f>'DOE data'!AL10</f>
        <v>4.4537999999999993</v>
      </c>
      <c r="M16" s="94" t="s">
        <v>208</v>
      </c>
      <c r="N16" t="s">
        <v>84</v>
      </c>
      <c r="O16" t="s">
        <v>87</v>
      </c>
      <c r="P16" t="s">
        <v>86</v>
      </c>
    </row>
    <row r="17" spans="1:16" x14ac:dyDescent="0.3">
      <c r="A17" t="s">
        <v>144</v>
      </c>
      <c r="B17">
        <v>1295</v>
      </c>
      <c r="C17">
        <f>'DOE data'!AE11</f>
        <v>1.69495</v>
      </c>
      <c r="D17" s="19">
        <f>'DOE data'!F9/1000</f>
        <v>4.0910000000000002</v>
      </c>
      <c r="E17" s="19">
        <f t="shared" si="5"/>
        <v>5.7859499999999997</v>
      </c>
      <c r="G17">
        <f>'DOE data'!AL11</f>
        <v>6.3468</v>
      </c>
      <c r="M17">
        <v>500</v>
      </c>
      <c r="N17">
        <v>829.8</v>
      </c>
      <c r="O17">
        <v>831.2</v>
      </c>
      <c r="P17">
        <v>842.2</v>
      </c>
    </row>
    <row r="18" spans="1:16" x14ac:dyDescent="0.3">
      <c r="A18" t="s">
        <v>145</v>
      </c>
      <c r="B18">
        <v>1295</v>
      </c>
      <c r="C18" s="20">
        <f>('DOE data'!AL12-('DOE data'!F12/1000))-('DOE data'!$AL$10-('DOE data'!$F$10/1000))</f>
        <v>2.6585999999999994</v>
      </c>
      <c r="D18" s="19">
        <f>'DOE data'!F10/1000</f>
        <v>3.9849999999999999</v>
      </c>
      <c r="E18" s="19">
        <f t="shared" si="5"/>
        <v>6.6435999999999993</v>
      </c>
      <c r="G18">
        <f>'DOE data'!AL12</f>
        <v>7.1763999999999992</v>
      </c>
      <c r="M18">
        <v>200</v>
      </c>
      <c r="N18">
        <v>744</v>
      </c>
      <c r="O18">
        <v>746.3</v>
      </c>
      <c r="P18">
        <v>751.4</v>
      </c>
    </row>
    <row r="19" spans="1:16" x14ac:dyDescent="0.3">
      <c r="M19">
        <v>100</v>
      </c>
      <c r="N19">
        <v>656.4</v>
      </c>
      <c r="O19">
        <v>656</v>
      </c>
      <c r="P19">
        <v>659.7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8A23-961D-4B6C-B995-283766F6D981}">
  <sheetPr>
    <pageSetUpPr fitToPage="1"/>
  </sheetPr>
  <dimension ref="A1:J28"/>
  <sheetViews>
    <sheetView tabSelected="1" zoomScale="66" workbookViewId="0">
      <selection activeCell="B26" sqref="B26"/>
    </sheetView>
  </sheetViews>
  <sheetFormatPr defaultRowHeight="14.4" x14ac:dyDescent="0.3"/>
  <cols>
    <col min="1" max="1" width="17" customWidth="1"/>
    <col min="2" max="2" width="13.5546875" customWidth="1"/>
    <col min="3" max="3" width="27.6640625" customWidth="1"/>
    <col min="4" max="4" width="61.33203125" style="1" customWidth="1"/>
    <col min="5" max="5" width="50.5546875" customWidth="1"/>
    <col min="10" max="17" width="17.88671875" bestFit="1" customWidth="1"/>
  </cols>
  <sheetData>
    <row r="1" spans="1:10" ht="53.4" customHeight="1" x14ac:dyDescent="0.55000000000000004">
      <c r="B1" s="4" t="s">
        <v>0</v>
      </c>
    </row>
    <row r="2" spans="1:10" ht="18" x14ac:dyDescent="0.35">
      <c r="A2" s="2" t="s">
        <v>1</v>
      </c>
      <c r="B2" s="2" t="s">
        <v>2</v>
      </c>
      <c r="C2" s="2" t="s">
        <v>3</v>
      </c>
      <c r="D2" s="2" t="s">
        <v>4</v>
      </c>
      <c r="E2" s="2" t="s">
        <v>5</v>
      </c>
    </row>
    <row r="3" spans="1:10" ht="18" x14ac:dyDescent="0.35">
      <c r="A3" s="29" t="s">
        <v>274</v>
      </c>
      <c r="B3" s="3" t="s">
        <v>10</v>
      </c>
      <c r="C3" s="3" t="s">
        <v>11</v>
      </c>
      <c r="D3" s="3" t="s">
        <v>12</v>
      </c>
      <c r="E3" s="3" t="s">
        <v>13</v>
      </c>
    </row>
    <row r="4" spans="1:10" ht="36" x14ac:dyDescent="0.35">
      <c r="A4" s="29" t="s">
        <v>275</v>
      </c>
      <c r="B4" s="3" t="s">
        <v>15</v>
      </c>
      <c r="C4" s="3" t="s">
        <v>276</v>
      </c>
      <c r="D4" s="3" t="s">
        <v>277</v>
      </c>
      <c r="E4" s="3" t="s">
        <v>278</v>
      </c>
    </row>
    <row r="5" spans="1:10" ht="18" x14ac:dyDescent="0.35">
      <c r="A5" s="3" t="s">
        <v>279</v>
      </c>
      <c r="B5" s="3" t="s">
        <v>280</v>
      </c>
      <c r="C5" s="3" t="s">
        <v>281</v>
      </c>
      <c r="D5" s="3" t="s">
        <v>282</v>
      </c>
      <c r="E5" s="3" t="s">
        <v>283</v>
      </c>
    </row>
    <row r="6" spans="1:10" ht="18" x14ac:dyDescent="0.35">
      <c r="A6" s="29" t="s">
        <v>284</v>
      </c>
      <c r="B6" s="3" t="s">
        <v>10</v>
      </c>
      <c r="C6" s="3" t="s">
        <v>11</v>
      </c>
      <c r="D6" s="3" t="s">
        <v>23</v>
      </c>
      <c r="E6" s="3" t="s">
        <v>24</v>
      </c>
    </row>
    <row r="7" spans="1:10" ht="54" x14ac:dyDescent="0.35">
      <c r="A7" s="29" t="s">
        <v>285</v>
      </c>
      <c r="B7" s="3" t="s">
        <v>26</v>
      </c>
      <c r="C7" s="3" t="s">
        <v>286</v>
      </c>
      <c r="D7" s="3" t="s">
        <v>287</v>
      </c>
      <c r="E7" s="3" t="s">
        <v>29</v>
      </c>
    </row>
    <row r="8" spans="1:10" ht="54.6" customHeight="1" x14ac:dyDescent="0.35">
      <c r="A8" s="29" t="s">
        <v>288</v>
      </c>
      <c r="B8" s="3" t="s">
        <v>26</v>
      </c>
      <c r="C8" s="3" t="s">
        <v>289</v>
      </c>
      <c r="D8" s="3"/>
      <c r="E8" s="3" t="s">
        <v>290</v>
      </c>
    </row>
    <row r="9" spans="1:10" ht="98.1" customHeight="1" x14ac:dyDescent="0.35">
      <c r="A9" s="29" t="s">
        <v>291</v>
      </c>
      <c r="B9" s="3"/>
      <c r="C9" s="3" t="s">
        <v>33</v>
      </c>
      <c r="D9" s="3"/>
      <c r="E9" s="3" t="s">
        <v>34</v>
      </c>
    </row>
    <row r="10" spans="1:10" ht="36" x14ac:dyDescent="0.35">
      <c r="A10" s="3" t="s">
        <v>292</v>
      </c>
      <c r="B10" s="3" t="s">
        <v>280</v>
      </c>
      <c r="C10" s="3" t="s">
        <v>293</v>
      </c>
      <c r="D10" s="3" t="s">
        <v>294</v>
      </c>
      <c r="E10" s="3" t="s">
        <v>36</v>
      </c>
    </row>
    <row r="11" spans="1:10" ht="72" x14ac:dyDescent="0.35">
      <c r="A11" s="29" t="s">
        <v>295</v>
      </c>
      <c r="B11" s="3" t="s">
        <v>38</v>
      </c>
      <c r="C11" s="3" t="s">
        <v>40</v>
      </c>
      <c r="D11" s="3" t="s">
        <v>296</v>
      </c>
      <c r="E11" s="3" t="s">
        <v>41</v>
      </c>
      <c r="J11" s="48" t="s">
        <v>42</v>
      </c>
    </row>
    <row r="12" spans="1:10" ht="54" x14ac:dyDescent="0.35">
      <c r="A12" s="29" t="s">
        <v>297</v>
      </c>
      <c r="B12" s="3" t="s">
        <v>44</v>
      </c>
      <c r="C12" s="3" t="s">
        <v>45</v>
      </c>
      <c r="D12" s="3"/>
      <c r="E12" s="3" t="s">
        <v>46</v>
      </c>
    </row>
    <row r="13" spans="1:10" ht="40.5" customHeight="1" x14ac:dyDescent="0.35">
      <c r="A13" s="3" t="s">
        <v>298</v>
      </c>
      <c r="B13" s="3" t="s">
        <v>48</v>
      </c>
      <c r="C13" s="3"/>
      <c r="D13" s="3" t="s">
        <v>49</v>
      </c>
      <c r="E13" s="3" t="s">
        <v>50</v>
      </c>
    </row>
    <row r="14" spans="1:10" ht="35.1" customHeight="1" x14ac:dyDescent="0.35">
      <c r="A14" s="3" t="s">
        <v>299</v>
      </c>
      <c r="B14" s="3" t="s">
        <v>10</v>
      </c>
      <c r="C14" s="3" t="s">
        <v>11</v>
      </c>
      <c r="D14" s="3" t="s">
        <v>300</v>
      </c>
      <c r="E14" s="3" t="s">
        <v>52</v>
      </c>
    </row>
    <row r="15" spans="1:10" ht="96.9" customHeight="1" x14ac:dyDescent="0.35">
      <c r="A15" s="3" t="s">
        <v>301</v>
      </c>
      <c r="B15" s="3" t="s">
        <v>302</v>
      </c>
      <c r="C15" s="3" t="s">
        <v>303</v>
      </c>
      <c r="D15" s="3" t="s">
        <v>304</v>
      </c>
      <c r="E15" s="3" t="s">
        <v>305</v>
      </c>
      <c r="I15" t="s">
        <v>306</v>
      </c>
    </row>
    <row r="16" spans="1:10" ht="66.599999999999994" customHeight="1" x14ac:dyDescent="0.35">
      <c r="A16" s="3" t="s">
        <v>307</v>
      </c>
      <c r="B16" s="3" t="s">
        <v>63</v>
      </c>
      <c r="C16" s="3"/>
      <c r="D16" s="3" t="s">
        <v>65</v>
      </c>
      <c r="E16" s="3" t="s">
        <v>308</v>
      </c>
    </row>
    <row r="17" spans="1:9" s="5" customFormat="1" ht="36" x14ac:dyDescent="0.35">
      <c r="A17" s="6" t="s">
        <v>53</v>
      </c>
      <c r="B17" s="6" t="s">
        <v>54</v>
      </c>
      <c r="C17" s="6" t="s">
        <v>55</v>
      </c>
      <c r="D17" s="6" t="s">
        <v>309</v>
      </c>
      <c r="E17" s="6" t="s">
        <v>310</v>
      </c>
    </row>
    <row r="18" spans="1:9" ht="62.4" customHeight="1" x14ac:dyDescent="0.35">
      <c r="A18" s="3" t="s">
        <v>311</v>
      </c>
      <c r="B18" s="3" t="s">
        <v>312</v>
      </c>
      <c r="C18" s="47" t="s">
        <v>313</v>
      </c>
      <c r="D18" s="3" t="s">
        <v>314</v>
      </c>
      <c r="E18" s="3" t="s">
        <v>315</v>
      </c>
    </row>
    <row r="19" spans="1:9" ht="67.95" customHeight="1" x14ac:dyDescent="0.35">
      <c r="A19" s="3" t="s">
        <v>316</v>
      </c>
      <c r="B19" s="3" t="s">
        <v>302</v>
      </c>
      <c r="C19" s="3" t="s">
        <v>303</v>
      </c>
      <c r="D19" s="3" t="s">
        <v>317</v>
      </c>
      <c r="E19" s="7"/>
      <c r="I19" t="s">
        <v>318</v>
      </c>
    </row>
    <row r="20" spans="1:9" ht="59.4" customHeight="1" x14ac:dyDescent="0.35">
      <c r="A20" s="7" t="s">
        <v>62</v>
      </c>
      <c r="B20" s="7" t="s">
        <v>63</v>
      </c>
      <c r="C20" s="7"/>
      <c r="D20" s="3" t="s">
        <v>65</v>
      </c>
      <c r="E20" s="3" t="s">
        <v>319</v>
      </c>
    </row>
    <row r="21" spans="1:9" ht="36" x14ac:dyDescent="0.35">
      <c r="A21" s="3" t="s">
        <v>67</v>
      </c>
      <c r="B21" s="7" t="s">
        <v>68</v>
      </c>
      <c r="C21" s="3" t="s">
        <v>69</v>
      </c>
      <c r="D21" s="3" t="s">
        <v>320</v>
      </c>
      <c r="E21" s="7"/>
    </row>
    <row r="22" spans="1:9" ht="18" x14ac:dyDescent="0.35">
      <c r="A22" s="31" t="s">
        <v>321</v>
      </c>
      <c r="B22" s="3" t="s">
        <v>312</v>
      </c>
      <c r="C22" s="3" t="s">
        <v>322</v>
      </c>
      <c r="D22" s="3" t="s">
        <v>323</v>
      </c>
      <c r="E22" s="7" t="s">
        <v>324</v>
      </c>
    </row>
    <row r="23" spans="1:9" ht="54" x14ac:dyDescent="0.35">
      <c r="A23" s="3" t="s">
        <v>325</v>
      </c>
      <c r="B23" s="7" t="s">
        <v>302</v>
      </c>
      <c r="C23" s="3" t="s">
        <v>326</v>
      </c>
      <c r="D23" s="3" t="s">
        <v>327</v>
      </c>
      <c r="E23" s="7" t="s">
        <v>328</v>
      </c>
    </row>
    <row r="24" spans="1:9" s="5" customFormat="1" ht="54" x14ac:dyDescent="0.35">
      <c r="A24" s="7" t="s">
        <v>329</v>
      </c>
      <c r="B24" s="7" t="s">
        <v>63</v>
      </c>
      <c r="C24" s="7"/>
      <c r="D24" s="57" t="s">
        <v>65</v>
      </c>
      <c r="E24" s="7" t="s">
        <v>330</v>
      </c>
    </row>
    <row r="27" spans="1:9" ht="25.8" x14ac:dyDescent="0.5">
      <c r="A27" s="104" t="s">
        <v>331</v>
      </c>
    </row>
    <row r="28" spans="1:9" ht="36" x14ac:dyDescent="0.35">
      <c r="A28" s="3" t="s">
        <v>332</v>
      </c>
      <c r="B28" s="7" t="s">
        <v>60</v>
      </c>
      <c r="C28" s="3"/>
      <c r="D28" s="3" t="s">
        <v>333</v>
      </c>
      <c r="E28" s="7" t="s">
        <v>328</v>
      </c>
    </row>
  </sheetData>
  <pageMargins left="0.7" right="0.7" top="0.75" bottom="0.75" header="0.3" footer="0.3"/>
  <pageSetup scale="3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6C14-8C05-4360-8BCF-D5D70A7389D1}">
  <dimension ref="A1:F21"/>
  <sheetViews>
    <sheetView workbookViewId="0">
      <selection activeCell="B14" sqref="B14"/>
    </sheetView>
  </sheetViews>
  <sheetFormatPr defaultRowHeight="14.4" x14ac:dyDescent="0.3"/>
  <cols>
    <col min="1" max="1" width="17.44140625" customWidth="1"/>
  </cols>
  <sheetData>
    <row r="1" spans="1:6" x14ac:dyDescent="0.3">
      <c r="B1" s="12" t="s">
        <v>84</v>
      </c>
      <c r="C1" s="12" t="s">
        <v>86</v>
      </c>
      <c r="D1" s="12" t="s">
        <v>87</v>
      </c>
      <c r="E1" s="110" t="s">
        <v>89</v>
      </c>
      <c r="F1" s="111" t="s">
        <v>90</v>
      </c>
    </row>
    <row r="2" spans="1:6" x14ac:dyDescent="0.3">
      <c r="A2" t="s">
        <v>334</v>
      </c>
      <c r="B2">
        <v>1025</v>
      </c>
      <c r="C2">
        <v>1025</v>
      </c>
      <c r="D2">
        <v>1025</v>
      </c>
      <c r="E2">
        <f>AVERAGE(B2:D2)</f>
        <v>1025</v>
      </c>
      <c r="F2">
        <f>(MAX(B2:D2)-MIN(B2:D2))/(2*E2)</f>
        <v>0</v>
      </c>
    </row>
    <row r="3" spans="1:6" x14ac:dyDescent="0.3">
      <c r="A3" t="s">
        <v>335</v>
      </c>
      <c r="B3">
        <v>1026.9000000000001</v>
      </c>
      <c r="C3">
        <v>1022.7</v>
      </c>
      <c r="D3">
        <v>1019.1</v>
      </c>
      <c r="E3">
        <f>AVERAGE(B3:D3)</f>
        <v>1022.9000000000001</v>
      </c>
      <c r="F3">
        <f>(MAX(B3:D3)-MIN(B3:D3))/(2*E3)</f>
        <v>3.8126894124548183E-3</v>
      </c>
    </row>
    <row r="5" spans="1:6" x14ac:dyDescent="0.3">
      <c r="A5" t="s">
        <v>336</v>
      </c>
      <c r="B5">
        <v>1001.1</v>
      </c>
      <c r="C5">
        <v>1006.6</v>
      </c>
      <c r="D5">
        <v>1019.9</v>
      </c>
      <c r="E5">
        <f t="shared" ref="E5:E12" si="0">AVERAGE(B5:D5)</f>
        <v>1009.1999999999999</v>
      </c>
      <c r="F5">
        <f t="shared" ref="F5:F12" si="1">(MAX(B5:D5)-MIN(B5:D5))/(2*E5)</f>
        <v>9.3143083630598273E-3</v>
      </c>
    </row>
    <row r="6" spans="1:6" x14ac:dyDescent="0.3">
      <c r="A6" t="s">
        <v>337</v>
      </c>
      <c r="B6">
        <v>1020.2</v>
      </c>
      <c r="C6">
        <v>1040.5999999999999</v>
      </c>
      <c r="D6">
        <v>1012.7</v>
      </c>
      <c r="E6">
        <f t="shared" si="0"/>
        <v>1024.5</v>
      </c>
      <c r="F6">
        <f t="shared" si="1"/>
        <v>1.3616398243045322E-2</v>
      </c>
    </row>
    <row r="7" spans="1:6" x14ac:dyDescent="0.3">
      <c r="A7" t="s">
        <v>338</v>
      </c>
      <c r="B7">
        <v>1034.5</v>
      </c>
      <c r="C7">
        <v>1035.08</v>
      </c>
      <c r="D7">
        <v>1019</v>
      </c>
      <c r="E7">
        <f t="shared" si="0"/>
        <v>1029.5266666666666</v>
      </c>
      <c r="F7">
        <f t="shared" si="1"/>
        <v>7.8094140349286379E-3</v>
      </c>
    </row>
    <row r="8" spans="1:6" x14ac:dyDescent="0.3">
      <c r="A8" t="s">
        <v>339</v>
      </c>
      <c r="B8">
        <v>998.4</v>
      </c>
      <c r="C8">
        <v>1024.4000000000001</v>
      </c>
      <c r="D8">
        <v>1004.1</v>
      </c>
      <c r="E8">
        <f t="shared" si="0"/>
        <v>1008.9666666666667</v>
      </c>
      <c r="F8">
        <f t="shared" si="1"/>
        <v>1.2884469258977889E-2</v>
      </c>
    </row>
    <row r="9" spans="1:6" x14ac:dyDescent="0.3">
      <c r="A9" t="s">
        <v>340</v>
      </c>
      <c r="B9">
        <v>1022.1</v>
      </c>
      <c r="C9">
        <v>1025.2</v>
      </c>
      <c r="D9">
        <v>1017.1</v>
      </c>
      <c r="E9">
        <f t="shared" si="0"/>
        <v>1021.4666666666667</v>
      </c>
      <c r="F9">
        <f t="shared" si="1"/>
        <v>3.9648870904581759E-3</v>
      </c>
    </row>
    <row r="10" spans="1:6" x14ac:dyDescent="0.3">
      <c r="A10" t="s">
        <v>341</v>
      </c>
      <c r="B10">
        <v>929.82</v>
      </c>
      <c r="C10">
        <v>921.98</v>
      </c>
      <c r="D10">
        <v>918.9</v>
      </c>
      <c r="E10">
        <f t="shared" si="0"/>
        <v>923.56666666666672</v>
      </c>
      <c r="F10">
        <f t="shared" si="1"/>
        <v>5.9118634280146201E-3</v>
      </c>
    </row>
    <row r="11" spans="1:6" x14ac:dyDescent="0.3">
      <c r="A11" t="s">
        <v>342</v>
      </c>
      <c r="B11">
        <v>963.8</v>
      </c>
      <c r="C11">
        <v>975.63</v>
      </c>
      <c r="D11">
        <v>971.38</v>
      </c>
      <c r="E11">
        <f t="shared" si="0"/>
        <v>970.27</v>
      </c>
      <c r="F11">
        <f t="shared" si="1"/>
        <v>6.0962412524349103E-3</v>
      </c>
    </row>
    <row r="12" spans="1:6" x14ac:dyDescent="0.3">
      <c r="A12" t="s">
        <v>343</v>
      </c>
      <c r="B12">
        <v>1022.5</v>
      </c>
      <c r="C12">
        <v>985.8</v>
      </c>
      <c r="D12">
        <v>925.7</v>
      </c>
      <c r="E12">
        <f t="shared" si="0"/>
        <v>978</v>
      </c>
      <c r="F12">
        <f t="shared" si="1"/>
        <v>4.9488752556237192E-2</v>
      </c>
    </row>
    <row r="14" spans="1:6" x14ac:dyDescent="0.3">
      <c r="A14" t="s">
        <v>344</v>
      </c>
      <c r="B14">
        <f t="shared" ref="B14:D14" si="2">$B$2-B5</f>
        <v>23.899999999999977</v>
      </c>
      <c r="C14">
        <f t="shared" si="2"/>
        <v>18.399999999999977</v>
      </c>
      <c r="D14">
        <f t="shared" si="2"/>
        <v>5.1000000000000227</v>
      </c>
      <c r="E14">
        <f t="shared" ref="E14:E18" si="3">AVERAGE(B14:D14)</f>
        <v>15.799999999999992</v>
      </c>
      <c r="F14">
        <f t="shared" ref="F14:F18" si="4">(MAX(B14:D14)-MIN(B14:D14))/(2*E14)</f>
        <v>0.59493670886075833</v>
      </c>
    </row>
    <row r="15" spans="1:6" x14ac:dyDescent="0.3">
      <c r="A15" t="s">
        <v>345</v>
      </c>
      <c r="B15" s="20">
        <f t="shared" ref="B15:D15" si="5">$B$2-B6</f>
        <v>4.7999999999999545</v>
      </c>
      <c r="C15" s="20">
        <f t="shared" si="5"/>
        <v>-15.599999999999909</v>
      </c>
      <c r="D15" s="20">
        <f t="shared" si="5"/>
        <v>12.299999999999955</v>
      </c>
      <c r="E15" s="20">
        <f t="shared" si="3"/>
        <v>0.5</v>
      </c>
      <c r="F15" s="20">
        <f t="shared" si="4"/>
        <v>27.899999999999864</v>
      </c>
    </row>
    <row r="16" spans="1:6" x14ac:dyDescent="0.3">
      <c r="A16" t="s">
        <v>346</v>
      </c>
      <c r="B16" s="20">
        <f t="shared" ref="B16:D16" si="6">$B$2-B7</f>
        <v>-9.5</v>
      </c>
      <c r="C16" s="20">
        <f t="shared" si="6"/>
        <v>-10.079999999999927</v>
      </c>
      <c r="D16" s="20">
        <f t="shared" si="6"/>
        <v>6</v>
      </c>
      <c r="E16" s="20">
        <f t="shared" si="3"/>
        <v>-4.5266666666666424</v>
      </c>
      <c r="F16" s="20">
        <f t="shared" si="4"/>
        <v>-1.7761413843888085</v>
      </c>
    </row>
    <row r="17" spans="1:6" x14ac:dyDescent="0.3">
      <c r="A17" t="s">
        <v>347</v>
      </c>
      <c r="B17">
        <f t="shared" ref="B17:D17" si="7">$B$2-B8</f>
        <v>26.600000000000023</v>
      </c>
      <c r="C17">
        <f t="shared" si="7"/>
        <v>0.59999999999990905</v>
      </c>
      <c r="D17">
        <f t="shared" si="7"/>
        <v>20.899999999999977</v>
      </c>
      <c r="E17">
        <f t="shared" si="3"/>
        <v>16.033333333333303</v>
      </c>
      <c r="F17">
        <f t="shared" si="4"/>
        <v>0.81081081081081585</v>
      </c>
    </row>
    <row r="18" spans="1:6" x14ac:dyDescent="0.3">
      <c r="A18" t="s">
        <v>348</v>
      </c>
      <c r="B18" s="20">
        <f t="shared" ref="B18:D18" si="8">$B$2-B9</f>
        <v>2.8999999999999773</v>
      </c>
      <c r="C18" s="20">
        <f t="shared" si="8"/>
        <v>-0.20000000000004547</v>
      </c>
      <c r="D18" s="20">
        <f t="shared" si="8"/>
        <v>7.8999999999999773</v>
      </c>
      <c r="E18" s="20">
        <f t="shared" si="3"/>
        <v>3.533333333333303</v>
      </c>
      <c r="F18" s="20">
        <f t="shared" si="4"/>
        <v>1.1462264150943526</v>
      </c>
    </row>
    <row r="19" spans="1:6" x14ac:dyDescent="0.3">
      <c r="A19" t="s">
        <v>349</v>
      </c>
      <c r="B19">
        <f>B3-B10</f>
        <v>97.080000000000041</v>
      </c>
      <c r="C19">
        <f>C3-C10</f>
        <v>100.72000000000003</v>
      </c>
      <c r="D19">
        <f>D3-D10</f>
        <v>100.20000000000005</v>
      </c>
      <c r="E19">
        <f>AVERAGE(B19:D19)</f>
        <v>99.333333333333371</v>
      </c>
      <c r="F19">
        <f>(MAX(B19:D19)-MIN(B19:D19))/(2*E19)</f>
        <v>1.8322147651006634E-2</v>
      </c>
    </row>
    <row r="20" spans="1:6" x14ac:dyDescent="0.3">
      <c r="A20" t="s">
        <v>350</v>
      </c>
      <c r="B20">
        <f t="shared" ref="B20:D21" si="9">$B$2-B11</f>
        <v>61.200000000000045</v>
      </c>
      <c r="C20">
        <f t="shared" si="9"/>
        <v>49.370000000000005</v>
      </c>
      <c r="D20">
        <f t="shared" si="9"/>
        <v>53.620000000000005</v>
      </c>
      <c r="E20">
        <f>AVERAGE(B20:D20)</f>
        <v>54.730000000000018</v>
      </c>
      <c r="F20">
        <f>(MAX(B20:D20)-MIN(B20:D20))/(2*E20)</f>
        <v>0.10807600950118798</v>
      </c>
    </row>
    <row r="21" spans="1:6" x14ac:dyDescent="0.3">
      <c r="A21" t="s">
        <v>351</v>
      </c>
      <c r="B21">
        <f t="shared" si="9"/>
        <v>2.5</v>
      </c>
      <c r="C21">
        <f t="shared" si="9"/>
        <v>39.200000000000045</v>
      </c>
      <c r="D21">
        <f t="shared" si="9"/>
        <v>99.299999999999955</v>
      </c>
      <c r="E21">
        <f>AVERAGE(B21:D21)</f>
        <v>47</v>
      </c>
      <c r="F21">
        <f>(MAX(B21:D21)-MIN(B21:D21))/(2*E21)</f>
        <v>1.0297872340425527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C87F-D1C5-40D7-9B9A-8348CC36D33A}">
  <dimension ref="A1:BP12"/>
  <sheetViews>
    <sheetView zoomScale="86" workbookViewId="0">
      <pane xSplit="3" ySplit="2" topLeftCell="D3" activePane="bottomRight" state="frozen"/>
      <selection pane="topRight" activeCell="D1" sqref="D1"/>
      <selection pane="bottomLeft" activeCell="A3" sqref="A3"/>
      <selection pane="bottomRight" activeCell="S8" sqref="S8"/>
    </sheetView>
  </sheetViews>
  <sheetFormatPr defaultRowHeight="15" customHeight="1" x14ac:dyDescent="0.3"/>
  <cols>
    <col min="2" max="2" width="11.5546875" customWidth="1"/>
    <col min="3" max="3" width="21.5546875" bestFit="1" customWidth="1"/>
    <col min="4" max="4" width="8.88671875" customWidth="1"/>
    <col min="16" max="17" width="8.88671875" customWidth="1"/>
    <col min="20" max="20" width="8.88671875" customWidth="1"/>
    <col min="21" max="21" width="13.6640625" customWidth="1"/>
    <col min="22" max="22" width="20.88671875" customWidth="1"/>
    <col min="23" max="23" width="10.33203125" customWidth="1"/>
    <col min="24" max="24" width="11.44140625" customWidth="1"/>
    <col min="25" max="25" width="26.88671875" customWidth="1"/>
    <col min="26" max="26" width="8.88671875" customWidth="1"/>
    <col min="37" max="39" width="8.88671875" customWidth="1"/>
    <col min="40" max="40" width="14" customWidth="1"/>
    <col min="41" max="41" width="23.5546875" customWidth="1"/>
    <col min="42" max="42" width="9.5546875" customWidth="1"/>
    <col min="44" max="44" width="11" customWidth="1"/>
    <col min="45" max="45" width="14.88671875" customWidth="1"/>
    <col min="46" max="50" width="8.88671875" customWidth="1"/>
    <col min="54" max="54" width="8.6640625" bestFit="1" customWidth="1"/>
    <col min="55" max="55" width="8.88671875" customWidth="1"/>
    <col min="60" max="60" width="9.44140625" customWidth="1"/>
    <col min="61" max="61" width="12.6640625" customWidth="1"/>
    <col min="62" max="62" width="10.109375" customWidth="1"/>
    <col min="63" max="63" width="10" customWidth="1"/>
    <col min="64" max="64" width="45" customWidth="1"/>
    <col min="65" max="65" width="9.5546875" customWidth="1"/>
    <col min="66" max="66" width="13.6640625" customWidth="1"/>
    <col min="67" max="67" width="11.5546875" customWidth="1"/>
    <col min="68" max="68" width="14.44140625" customWidth="1"/>
    <col min="69" max="72" width="8.88671875" bestFit="1" customWidth="1"/>
  </cols>
  <sheetData>
    <row r="1" spans="1:68" ht="14.4" x14ac:dyDescent="0.3">
      <c r="A1" s="8" t="s">
        <v>74</v>
      </c>
      <c r="B1" s="9"/>
      <c r="C1" s="10"/>
      <c r="D1" s="32" t="s">
        <v>279</v>
      </c>
      <c r="E1" s="33"/>
      <c r="F1" s="33"/>
      <c r="G1" s="33"/>
      <c r="H1" s="34"/>
      <c r="I1" s="32" t="s">
        <v>352</v>
      </c>
      <c r="J1" s="33"/>
      <c r="K1" s="33"/>
      <c r="L1" s="33"/>
      <c r="M1" s="34"/>
      <c r="N1" s="35" t="s">
        <v>353</v>
      </c>
      <c r="O1" s="36"/>
      <c r="P1" s="36"/>
      <c r="Q1" s="36"/>
      <c r="R1" s="36"/>
      <c r="S1" s="36"/>
      <c r="T1" s="37"/>
      <c r="U1" s="21" t="s">
        <v>354</v>
      </c>
      <c r="V1" s="22"/>
      <c r="W1" s="22"/>
      <c r="X1" s="23"/>
      <c r="Y1" s="137" t="s">
        <v>355</v>
      </c>
      <c r="Z1" s="138"/>
      <c r="AA1" s="138"/>
      <c r="AB1" s="138"/>
      <c r="AC1" s="138"/>
      <c r="AD1" s="138"/>
      <c r="AE1" s="138"/>
      <c r="AF1" s="139"/>
      <c r="AG1" s="24" t="s">
        <v>356</v>
      </c>
      <c r="AH1" s="25"/>
      <c r="AI1" s="25"/>
      <c r="AJ1" s="25"/>
      <c r="AK1" s="25"/>
      <c r="AL1" s="25"/>
      <c r="AM1" s="26"/>
      <c r="AN1" s="21" t="s">
        <v>357</v>
      </c>
      <c r="AO1" s="22"/>
      <c r="AP1" s="22"/>
      <c r="AQ1" s="22"/>
      <c r="AR1" s="23"/>
      <c r="AS1" s="137" t="s">
        <v>358</v>
      </c>
      <c r="AT1" s="138"/>
      <c r="AU1" s="138"/>
      <c r="AV1" s="138"/>
      <c r="AW1" s="138"/>
      <c r="AX1" s="138"/>
      <c r="AY1" s="138"/>
      <c r="AZ1" s="139"/>
      <c r="BA1" s="40" t="s">
        <v>359</v>
      </c>
      <c r="BB1" s="38"/>
      <c r="BC1" s="38"/>
      <c r="BD1" s="38"/>
      <c r="BE1" s="38"/>
      <c r="BF1" s="38"/>
      <c r="BG1" s="45"/>
      <c r="BH1" s="58" t="s">
        <v>360</v>
      </c>
      <c r="BI1" s="59"/>
      <c r="BJ1" s="59"/>
      <c r="BK1" s="59"/>
      <c r="BL1" s="60"/>
      <c r="BM1" s="61" t="s">
        <v>78</v>
      </c>
      <c r="BN1" s="9" t="s">
        <v>79</v>
      </c>
      <c r="BO1" s="62" t="s">
        <v>80</v>
      </c>
      <c r="BP1" s="62" t="s">
        <v>81</v>
      </c>
    </row>
    <row r="2" spans="1:68" ht="66.599999999999994" x14ac:dyDescent="0.3">
      <c r="A2" s="11"/>
      <c r="B2" s="12" t="s">
        <v>82</v>
      </c>
      <c r="C2" s="13" t="s">
        <v>83</v>
      </c>
      <c r="D2" s="12" t="s">
        <v>119</v>
      </c>
      <c r="E2" s="12" t="s">
        <v>120</v>
      </c>
      <c r="F2" s="12" t="s">
        <v>89</v>
      </c>
      <c r="G2" s="12" t="s">
        <v>121</v>
      </c>
      <c r="H2" s="14" t="s">
        <v>122</v>
      </c>
      <c r="I2" s="12" t="s">
        <v>119</v>
      </c>
      <c r="J2" s="12" t="s">
        <v>120</v>
      </c>
      <c r="K2" s="12" t="s">
        <v>89</v>
      </c>
      <c r="L2" s="12" t="s">
        <v>121</v>
      </c>
      <c r="M2" s="14" t="s">
        <v>122</v>
      </c>
      <c r="N2" s="12" t="s">
        <v>84</v>
      </c>
      <c r="O2" s="15" t="s">
        <v>85</v>
      </c>
      <c r="P2" s="12" t="s">
        <v>86</v>
      </c>
      <c r="Q2" s="12" t="s">
        <v>87</v>
      </c>
      <c r="R2" s="12" t="s">
        <v>88</v>
      </c>
      <c r="S2" s="16" t="s">
        <v>89</v>
      </c>
      <c r="T2" s="17" t="s">
        <v>90</v>
      </c>
      <c r="U2" s="12" t="s">
        <v>361</v>
      </c>
      <c r="V2" s="12" t="s">
        <v>3</v>
      </c>
      <c r="W2" s="15" t="s">
        <v>362</v>
      </c>
      <c r="X2" s="17" t="s">
        <v>125</v>
      </c>
      <c r="Y2" s="39" t="s">
        <v>3</v>
      </c>
      <c r="Z2" s="12" t="s">
        <v>84</v>
      </c>
      <c r="AA2" s="15" t="s">
        <v>85</v>
      </c>
      <c r="AB2" s="12" t="s">
        <v>86</v>
      </c>
      <c r="AC2" s="12" t="s">
        <v>87</v>
      </c>
      <c r="AD2" s="12" t="s">
        <v>88</v>
      </c>
      <c r="AE2" s="16" t="s">
        <v>89</v>
      </c>
      <c r="AF2" s="17" t="s">
        <v>90</v>
      </c>
      <c r="AG2" s="12" t="s">
        <v>84</v>
      </c>
      <c r="AH2" s="15" t="s">
        <v>85</v>
      </c>
      <c r="AI2" s="12" t="s">
        <v>86</v>
      </c>
      <c r="AJ2" s="12" t="s">
        <v>87</v>
      </c>
      <c r="AK2" s="12" t="s">
        <v>88</v>
      </c>
      <c r="AL2" s="16" t="s">
        <v>89</v>
      </c>
      <c r="AM2" s="17" t="s">
        <v>90</v>
      </c>
      <c r="AN2" s="12" t="s">
        <v>361</v>
      </c>
      <c r="AO2" s="12" t="s">
        <v>3</v>
      </c>
      <c r="AP2" s="15" t="s">
        <v>363</v>
      </c>
      <c r="AQ2" s="15" t="s">
        <v>364</v>
      </c>
      <c r="AR2" s="17" t="s">
        <v>125</v>
      </c>
      <c r="AS2" s="39" t="s">
        <v>3</v>
      </c>
      <c r="AT2" s="12" t="s">
        <v>84</v>
      </c>
      <c r="AU2" s="15" t="s">
        <v>85</v>
      </c>
      <c r="AV2" s="12" t="s">
        <v>86</v>
      </c>
      <c r="AW2" s="12" t="s">
        <v>87</v>
      </c>
      <c r="AX2" s="12" t="s">
        <v>88</v>
      </c>
      <c r="AY2" s="16" t="s">
        <v>89</v>
      </c>
      <c r="AZ2" s="17" t="s">
        <v>90</v>
      </c>
      <c r="BA2" s="12" t="s">
        <v>84</v>
      </c>
      <c r="BB2" s="15" t="s">
        <v>85</v>
      </c>
      <c r="BC2" s="12" t="s">
        <v>86</v>
      </c>
      <c r="BD2" s="12" t="s">
        <v>87</v>
      </c>
      <c r="BE2" s="12" t="s">
        <v>88</v>
      </c>
      <c r="BF2" s="16" t="s">
        <v>89</v>
      </c>
      <c r="BG2" s="46" t="s">
        <v>90</v>
      </c>
      <c r="BH2" t="s">
        <v>365</v>
      </c>
      <c r="BI2" s="52" t="s">
        <v>366</v>
      </c>
      <c r="BJ2" s="52" t="s">
        <v>367</v>
      </c>
      <c r="BK2" s="63" t="s">
        <v>368</v>
      </c>
      <c r="BL2" s="64" t="s">
        <v>96</v>
      </c>
      <c r="BM2" s="65" t="s">
        <v>369</v>
      </c>
      <c r="BN2" s="66" t="s">
        <v>101</v>
      </c>
      <c r="BO2" s="66" t="s">
        <v>102</v>
      </c>
      <c r="BP2" s="42" t="s">
        <v>370</v>
      </c>
    </row>
    <row r="3" spans="1:68" ht="14.4" x14ac:dyDescent="0.3">
      <c r="A3" t="s">
        <v>371</v>
      </c>
      <c r="B3" t="s">
        <v>307</v>
      </c>
      <c r="D3" s="28">
        <v>4000</v>
      </c>
      <c r="E3" s="28">
        <v>4050</v>
      </c>
      <c r="F3" s="50">
        <f t="shared" ref="F3:F12" si="0">AVERAGE(D3,E3)</f>
        <v>4025</v>
      </c>
      <c r="G3" s="54"/>
      <c r="H3" s="55"/>
      <c r="I3" s="18">
        <v>7</v>
      </c>
      <c r="J3">
        <v>7.3</v>
      </c>
      <c r="K3" s="50">
        <f t="shared" ref="K3:K12" si="1">AVERAGE(I3,J3)</f>
        <v>7.15</v>
      </c>
      <c r="L3" s="54"/>
      <c r="M3" s="55"/>
      <c r="N3">
        <v>7.0709999999999997</v>
      </c>
      <c r="O3">
        <v>7.2140000000000004</v>
      </c>
      <c r="P3">
        <v>7.1829999999999998</v>
      </c>
      <c r="Q3">
        <v>7.194</v>
      </c>
      <c r="R3">
        <v>7.2080000000000002</v>
      </c>
      <c r="S3">
        <f>AVERAGE(N3:R3)</f>
        <v>7.1739999999999995</v>
      </c>
      <c r="T3" s="41">
        <f>(MAX(N3:R3)-MIN(N3:R3))/(2*S3)</f>
        <v>9.9665458600502292E-3</v>
      </c>
      <c r="X3" s="41"/>
      <c r="AF3" s="41"/>
      <c r="AM3" s="41"/>
      <c r="AR3" s="41"/>
      <c r="AZ3" s="41"/>
      <c r="BG3" s="42"/>
      <c r="BH3" t="s">
        <v>307</v>
      </c>
      <c r="BL3" s="42" t="s">
        <v>372</v>
      </c>
      <c r="BP3" s="42"/>
    </row>
    <row r="4" spans="1:68" ht="14.4" x14ac:dyDescent="0.3">
      <c r="A4" t="s">
        <v>130</v>
      </c>
      <c r="B4" t="s">
        <v>373</v>
      </c>
      <c r="D4" s="28">
        <v>4050</v>
      </c>
      <c r="E4" s="28">
        <v>4100</v>
      </c>
      <c r="F4" s="50">
        <f t="shared" si="0"/>
        <v>4075</v>
      </c>
      <c r="G4" s="54"/>
      <c r="H4" s="56"/>
      <c r="I4" s="18">
        <v>7</v>
      </c>
      <c r="J4" s="18">
        <v>7.4</v>
      </c>
      <c r="K4" s="51">
        <f t="shared" si="1"/>
        <v>7.2</v>
      </c>
      <c r="L4" s="54"/>
      <c r="M4" s="56"/>
      <c r="N4">
        <v>7.1260000000000003</v>
      </c>
      <c r="O4">
        <v>7.3890000000000002</v>
      </c>
      <c r="P4">
        <v>7.2489999999999997</v>
      </c>
      <c r="Q4">
        <v>7.2530000000000001</v>
      </c>
      <c r="R4">
        <v>7.2130000000000001</v>
      </c>
      <c r="S4">
        <f t="shared" ref="S4:S12" si="2">AVERAGE(N4:R4)</f>
        <v>7.2459999999999996</v>
      </c>
      <c r="T4" s="42">
        <f t="shared" ref="T4:T12" si="3">(MAX(N4:R4)-MIN(N4:R4))/(2*S4)</f>
        <v>1.8147943693072034E-2</v>
      </c>
      <c r="U4" t="s">
        <v>374</v>
      </c>
      <c r="V4" t="s">
        <v>131</v>
      </c>
      <c r="W4" t="s">
        <v>375</v>
      </c>
      <c r="X4" s="43">
        <v>45646</v>
      </c>
      <c r="AF4" s="42"/>
      <c r="AG4">
        <v>5.4950000000000001</v>
      </c>
      <c r="AH4" s="19">
        <v>5.8339999999999996</v>
      </c>
      <c r="AI4">
        <v>5.5650000000000004</v>
      </c>
      <c r="AJ4">
        <v>5.6760000000000002</v>
      </c>
      <c r="AK4" s="19">
        <v>5.8</v>
      </c>
      <c r="AL4">
        <f t="shared" ref="AL4:AL5" si="4">AVERAGE(AG4:AK4)</f>
        <v>5.6740000000000004</v>
      </c>
      <c r="AM4" s="42">
        <f t="shared" ref="AM4:AM5" si="5">(MAX(AG4:AK4)-MIN(AG4:AK4))/(2*AL4)</f>
        <v>2.9873105393020752E-2</v>
      </c>
      <c r="AR4" s="43"/>
      <c r="AZ4" s="42"/>
      <c r="BB4" s="19"/>
      <c r="BE4" s="19"/>
      <c r="BG4" s="42"/>
      <c r="BH4" t="s">
        <v>373</v>
      </c>
      <c r="BL4" s="42" t="s">
        <v>376</v>
      </c>
      <c r="BP4" s="42"/>
    </row>
    <row r="5" spans="1:68" ht="14.4" x14ac:dyDescent="0.3">
      <c r="A5" t="s">
        <v>132</v>
      </c>
      <c r="B5" t="s">
        <v>373</v>
      </c>
      <c r="D5" s="28">
        <v>4050</v>
      </c>
      <c r="E5" s="28">
        <v>4100</v>
      </c>
      <c r="F5" s="50">
        <f t="shared" si="0"/>
        <v>4075</v>
      </c>
      <c r="G5" s="54"/>
      <c r="H5" s="56"/>
      <c r="I5" s="18">
        <v>7.1</v>
      </c>
      <c r="J5" s="18">
        <v>7.4</v>
      </c>
      <c r="K5" s="51">
        <f t="shared" si="1"/>
        <v>7.25</v>
      </c>
      <c r="L5" s="54"/>
      <c r="M5" s="56"/>
      <c r="N5">
        <v>7.0529999999999999</v>
      </c>
      <c r="O5">
        <v>7.1989999999999998</v>
      </c>
      <c r="P5">
        <v>7.056</v>
      </c>
      <c r="Q5">
        <v>7.1840000000000002</v>
      </c>
      <c r="R5">
        <v>7.2229999999999999</v>
      </c>
      <c r="S5">
        <f t="shared" si="2"/>
        <v>7.1430000000000007</v>
      </c>
      <c r="T5" s="42">
        <f t="shared" si="3"/>
        <v>1.1899762004759899E-2</v>
      </c>
      <c r="U5" t="s">
        <v>374</v>
      </c>
      <c r="V5" t="s">
        <v>131</v>
      </c>
      <c r="W5" t="s">
        <v>377</v>
      </c>
      <c r="X5" s="43">
        <v>45646</v>
      </c>
      <c r="AF5" s="42"/>
      <c r="AG5">
        <v>6.5259999999999998</v>
      </c>
      <c r="AH5">
        <v>6.5209999999999999</v>
      </c>
      <c r="AI5">
        <v>6.5110000000000001</v>
      </c>
      <c r="AJ5">
        <v>6.5949999999999998</v>
      </c>
      <c r="AK5">
        <v>6.5279999999999996</v>
      </c>
      <c r="AL5">
        <f t="shared" si="4"/>
        <v>6.5361999999999991</v>
      </c>
      <c r="AM5" s="42">
        <f t="shared" si="5"/>
        <v>6.4257519659740858E-3</v>
      </c>
      <c r="AR5" s="43"/>
      <c r="AZ5" s="42"/>
      <c r="BG5" s="42"/>
      <c r="BH5" t="s">
        <v>373</v>
      </c>
      <c r="BL5" s="42" t="s">
        <v>378</v>
      </c>
      <c r="BP5" s="42"/>
    </row>
    <row r="6" spans="1:68" ht="14.4" x14ac:dyDescent="0.3">
      <c r="A6" t="s">
        <v>133</v>
      </c>
      <c r="B6" t="s">
        <v>373</v>
      </c>
      <c r="D6" s="28">
        <v>4050</v>
      </c>
      <c r="E6" s="28">
        <v>4100</v>
      </c>
      <c r="F6" s="50">
        <f t="shared" si="0"/>
        <v>4075</v>
      </c>
      <c r="G6" s="54"/>
      <c r="H6" s="56"/>
      <c r="I6" s="18">
        <v>7</v>
      </c>
      <c r="J6" s="18">
        <v>7.3</v>
      </c>
      <c r="K6" s="51">
        <f t="shared" si="1"/>
        <v>7.15</v>
      </c>
      <c r="L6" s="54"/>
      <c r="M6" s="56"/>
      <c r="N6">
        <v>6.9989999999999997</v>
      </c>
      <c r="O6">
        <v>7.2450000000000001</v>
      </c>
      <c r="P6">
        <v>7.141</v>
      </c>
      <c r="Q6">
        <v>7.2080000000000002</v>
      </c>
      <c r="R6">
        <v>7.194</v>
      </c>
      <c r="S6">
        <f t="shared" si="2"/>
        <v>7.1574</v>
      </c>
      <c r="T6" s="42">
        <f t="shared" si="3"/>
        <v>1.7185011316958702E-2</v>
      </c>
      <c r="U6" t="s">
        <v>374</v>
      </c>
      <c r="V6" t="s">
        <v>131</v>
      </c>
      <c r="W6" t="s">
        <v>379</v>
      </c>
      <c r="X6" s="43">
        <v>45659</v>
      </c>
      <c r="AF6" s="42"/>
      <c r="AM6" s="42"/>
      <c r="AR6" s="43"/>
      <c r="AZ6" s="42"/>
      <c r="BG6" s="42"/>
      <c r="BH6" t="s">
        <v>373</v>
      </c>
      <c r="BL6" s="42" t="s">
        <v>380</v>
      </c>
      <c r="BP6" s="42"/>
    </row>
    <row r="7" spans="1:68" ht="14.4" x14ac:dyDescent="0.3">
      <c r="A7" t="s">
        <v>134</v>
      </c>
      <c r="B7" t="s">
        <v>329</v>
      </c>
      <c r="D7" s="28">
        <v>3950</v>
      </c>
      <c r="E7" s="28">
        <v>4000</v>
      </c>
      <c r="F7" s="50">
        <f t="shared" si="0"/>
        <v>3975</v>
      </c>
      <c r="G7" s="54"/>
      <c r="H7" s="56"/>
      <c r="I7" s="18">
        <v>6.9</v>
      </c>
      <c r="J7" s="18">
        <v>7.2</v>
      </c>
      <c r="K7" s="51">
        <f t="shared" si="1"/>
        <v>7.0500000000000007</v>
      </c>
      <c r="L7" s="54"/>
      <c r="M7" s="56"/>
      <c r="N7">
        <v>6.9969999999999999</v>
      </c>
      <c r="O7">
        <v>7.2060000000000004</v>
      </c>
      <c r="P7">
        <v>7.1950000000000003</v>
      </c>
      <c r="Q7">
        <v>7.2549999999999999</v>
      </c>
      <c r="R7">
        <v>7.335</v>
      </c>
      <c r="S7">
        <f t="shared" si="2"/>
        <v>7.1975999999999996</v>
      </c>
      <c r="T7" s="42">
        <f t="shared" si="3"/>
        <v>2.3480048905190627E-2</v>
      </c>
      <c r="U7" t="s">
        <v>374</v>
      </c>
      <c r="V7" t="s">
        <v>131</v>
      </c>
      <c r="W7" t="s">
        <v>379</v>
      </c>
      <c r="X7" s="43">
        <v>45659</v>
      </c>
      <c r="AE7" s="49">
        <v>2</v>
      </c>
      <c r="AF7" s="42"/>
      <c r="AG7">
        <v>6.5819999999999999</v>
      </c>
      <c r="AH7">
        <v>6.7210000000000001</v>
      </c>
      <c r="AI7">
        <v>6.7110000000000003</v>
      </c>
      <c r="AJ7">
        <v>6.7039999999999997</v>
      </c>
      <c r="AK7">
        <v>6.6909999999999998</v>
      </c>
      <c r="AL7">
        <f t="shared" ref="AL7:AL12" si="6">AVERAGE(AG7:AK7)</f>
        <v>6.6818000000000008</v>
      </c>
      <c r="AM7" s="42">
        <f t="shared" ref="AM7:AM9" si="7">(MAX(AG7:AK7)-MIN(AG7:AK7))/(2*AL7)</f>
        <v>1.0401388847316607E-2</v>
      </c>
      <c r="AN7" t="s">
        <v>381</v>
      </c>
      <c r="AO7" t="s">
        <v>157</v>
      </c>
      <c r="AP7" t="s">
        <v>382</v>
      </c>
      <c r="AQ7">
        <v>500</v>
      </c>
      <c r="AR7" s="43">
        <v>45670</v>
      </c>
      <c r="AS7" t="s">
        <v>322</v>
      </c>
      <c r="AT7">
        <v>2270.5</v>
      </c>
      <c r="AY7" s="53">
        <f t="shared" ref="AY7:AY12" si="8">AVERAGE(AT7:AX7)</f>
        <v>2270.5</v>
      </c>
      <c r="AZ7" s="42">
        <f t="shared" ref="AZ7:AZ12" si="9">(MAX(AT7:AX7)-MIN(AT7:AX7))/(2*AY7)</f>
        <v>0</v>
      </c>
      <c r="BA7">
        <v>300.12</v>
      </c>
      <c r="BB7">
        <v>297.62</v>
      </c>
      <c r="BC7">
        <v>301.43</v>
      </c>
      <c r="BD7">
        <v>298.41000000000003</v>
      </c>
      <c r="BE7">
        <v>299.23</v>
      </c>
      <c r="BF7">
        <f t="shared" ref="BF7" si="10">AVERAGE(BA7:BE7)</f>
        <v>299.36200000000002</v>
      </c>
      <c r="BG7" s="42">
        <f t="shared" ref="BG7" si="11">(MAX(BA7:BE7)-MIN(BA7:BE7))/(2*BF7)</f>
        <v>6.3635331137552563E-3</v>
      </c>
      <c r="BH7" t="s">
        <v>329</v>
      </c>
      <c r="BI7">
        <v>303.8</v>
      </c>
      <c r="BJ7">
        <v>131.4</v>
      </c>
      <c r="BK7" s="53">
        <v>5</v>
      </c>
      <c r="BL7" s="42" t="s">
        <v>383</v>
      </c>
      <c r="BM7">
        <f>(BF7-AY7/1000)/AQ7</f>
        <v>0.59418300000000002</v>
      </c>
      <c r="BN7">
        <f>((F7-AY7)/1000)/(AQ7-(AE7/0.013))</f>
        <v>4.92411111111111E-3</v>
      </c>
      <c r="BO7">
        <f>BM7/BN7</f>
        <v>120.66807319990075</v>
      </c>
      <c r="BP7" s="42">
        <f>(BE7/BI7)*BJ7/BK7</f>
        <v>25.8846754443713</v>
      </c>
    </row>
    <row r="8" spans="1:68" ht="14.4" x14ac:dyDescent="0.3">
      <c r="A8" t="s">
        <v>135</v>
      </c>
      <c r="B8" t="s">
        <v>329</v>
      </c>
      <c r="D8" s="28">
        <v>4050</v>
      </c>
      <c r="E8" s="28">
        <v>4100</v>
      </c>
      <c r="F8" s="50">
        <f t="shared" si="0"/>
        <v>4075</v>
      </c>
      <c r="G8" s="54"/>
      <c r="H8" s="56"/>
      <c r="I8" s="18">
        <v>6.9</v>
      </c>
      <c r="J8" s="18">
        <v>7.5</v>
      </c>
      <c r="K8" s="51">
        <f t="shared" si="1"/>
        <v>7.2</v>
      </c>
      <c r="L8" s="54"/>
      <c r="M8" s="56"/>
      <c r="N8">
        <v>7.0659999999999998</v>
      </c>
      <c r="O8">
        <v>7.165</v>
      </c>
      <c r="P8">
        <v>7.1459999999999999</v>
      </c>
      <c r="Q8">
        <v>7.1719999999999997</v>
      </c>
      <c r="R8">
        <v>7.1829999999999998</v>
      </c>
      <c r="S8">
        <f t="shared" si="2"/>
        <v>7.1463999999999999</v>
      </c>
      <c r="T8" s="42">
        <f t="shared" si="3"/>
        <v>8.1859397738721588E-3</v>
      </c>
      <c r="U8" t="s">
        <v>374</v>
      </c>
      <c r="V8" t="s">
        <v>131</v>
      </c>
      <c r="W8" t="s">
        <v>379</v>
      </c>
      <c r="X8" s="43">
        <v>45677</v>
      </c>
      <c r="Y8" t="s">
        <v>384</v>
      </c>
      <c r="Z8">
        <v>1.5331999999999999</v>
      </c>
      <c r="AA8">
        <v>1.7725</v>
      </c>
      <c r="AB8">
        <v>1.6936</v>
      </c>
      <c r="AC8">
        <v>1.853</v>
      </c>
      <c r="AD8">
        <v>1.7927999999999999</v>
      </c>
      <c r="AE8">
        <f t="shared" ref="AE8:AE9" si="12">AVERAGE(Z8:AD8)</f>
        <v>1.7290199999999998</v>
      </c>
      <c r="AF8" s="42">
        <f t="shared" ref="AF8:AF9" si="13">(MAX(Z8:AD8)-MIN(Z8:AD8))/(2*AE8)</f>
        <v>9.2480133254676092E-2</v>
      </c>
      <c r="AG8">
        <v>6.1660000000000004</v>
      </c>
      <c r="AH8">
        <v>6.1520000000000001</v>
      </c>
      <c r="AI8">
        <v>6.2050000000000001</v>
      </c>
      <c r="AJ8">
        <v>6.39</v>
      </c>
      <c r="AK8">
        <v>6.2480000000000002</v>
      </c>
      <c r="AL8">
        <f t="shared" si="6"/>
        <v>6.2322000000000006</v>
      </c>
      <c r="AM8" s="42">
        <f t="shared" si="7"/>
        <v>1.9094380796508419E-2</v>
      </c>
      <c r="AN8" t="s">
        <v>381</v>
      </c>
      <c r="AO8" t="s">
        <v>162</v>
      </c>
      <c r="AP8" t="s">
        <v>158</v>
      </c>
      <c r="AQ8">
        <v>945</v>
      </c>
      <c r="AR8" s="43">
        <v>45686</v>
      </c>
      <c r="AS8" t="s">
        <v>322</v>
      </c>
      <c r="AT8">
        <v>1273.0999999999999</v>
      </c>
      <c r="AU8">
        <v>1609.7</v>
      </c>
      <c r="AV8">
        <v>1394.4</v>
      </c>
      <c r="AW8">
        <v>1339.9</v>
      </c>
      <c r="AX8">
        <v>1574.8</v>
      </c>
      <c r="AY8">
        <f t="shared" si="8"/>
        <v>1438.38</v>
      </c>
      <c r="AZ8" s="42">
        <f t="shared" si="9"/>
        <v>0.11700663246151925</v>
      </c>
      <c r="BA8">
        <v>600.03</v>
      </c>
      <c r="BB8" s="27">
        <v>595</v>
      </c>
      <c r="BC8">
        <v>600.27</v>
      </c>
      <c r="BD8">
        <v>594.75</v>
      </c>
      <c r="BE8">
        <v>599.07000000000005</v>
      </c>
      <c r="BF8">
        <f>AVERAGE(BA8:BE8)</f>
        <v>597.82400000000007</v>
      </c>
      <c r="BG8" s="42">
        <f>(MAX(BA8:BE8)-MIN(BA8:BE8))/(2*BF8)</f>
        <v>4.6167433893587254E-3</v>
      </c>
      <c r="BH8" t="s">
        <v>329</v>
      </c>
      <c r="BI8">
        <v>613.1</v>
      </c>
      <c r="BJ8">
        <v>234.6</v>
      </c>
      <c r="BK8" s="53">
        <v>5</v>
      </c>
      <c r="BL8" s="42" t="s">
        <v>385</v>
      </c>
      <c r="BM8">
        <f>'DRIE etch rates'!J3</f>
        <v>0.63064279365079368</v>
      </c>
      <c r="BN8">
        <f>((F8-AY8)/1000)/(AQ8-(AE8/0.013))</f>
        <v>3.2470751176110597E-3</v>
      </c>
      <c r="BO8">
        <f>BM8/BN8</f>
        <v>194.2187263332456</v>
      </c>
      <c r="BP8" s="42">
        <f>(BE8/BI8)*BJ8/BK8</f>
        <v>45.846296525852225</v>
      </c>
    </row>
    <row r="9" spans="1:68" ht="14.4" x14ac:dyDescent="0.3">
      <c r="A9" t="s">
        <v>136</v>
      </c>
      <c r="D9" s="28">
        <v>4000</v>
      </c>
      <c r="E9" s="28">
        <v>4050</v>
      </c>
      <c r="F9" s="50">
        <f t="shared" si="0"/>
        <v>4025</v>
      </c>
      <c r="G9" s="54"/>
      <c r="H9" s="56"/>
      <c r="I9" s="18">
        <v>7.1</v>
      </c>
      <c r="J9" s="18">
        <v>7.4</v>
      </c>
      <c r="K9" s="51">
        <f t="shared" si="1"/>
        <v>7.25</v>
      </c>
      <c r="L9" s="54"/>
      <c r="M9" s="56"/>
      <c r="N9">
        <v>7.0439999999999996</v>
      </c>
      <c r="O9">
        <v>7.1849999999999996</v>
      </c>
      <c r="P9">
        <v>7.109</v>
      </c>
      <c r="Q9">
        <v>7.0750000000000002</v>
      </c>
      <c r="R9">
        <v>7.1150000000000002</v>
      </c>
      <c r="S9">
        <f t="shared" si="2"/>
        <v>7.1055999999999999</v>
      </c>
      <c r="T9" s="42">
        <f t="shared" si="3"/>
        <v>9.9217518576897104E-3</v>
      </c>
      <c r="U9" t="s">
        <v>374</v>
      </c>
      <c r="V9" t="s">
        <v>131</v>
      </c>
      <c r="W9" t="s">
        <v>379</v>
      </c>
      <c r="X9" s="43">
        <v>45677</v>
      </c>
      <c r="Y9" t="s">
        <v>384</v>
      </c>
      <c r="Z9">
        <v>1.8880999999999999</v>
      </c>
      <c r="AA9">
        <v>2.1421999999999999</v>
      </c>
      <c r="AB9">
        <v>2.1120999999999999</v>
      </c>
      <c r="AC9">
        <v>2.2328000000000001</v>
      </c>
      <c r="AD9">
        <v>2.2096</v>
      </c>
      <c r="AE9">
        <f t="shared" si="12"/>
        <v>2.1169599999999997</v>
      </c>
      <c r="AF9" s="42">
        <f t="shared" si="13"/>
        <v>8.1413914292192649E-2</v>
      </c>
      <c r="AG9">
        <v>6.44</v>
      </c>
      <c r="AH9">
        <v>6.415</v>
      </c>
      <c r="AI9">
        <v>6.532</v>
      </c>
      <c r="AJ9">
        <v>6.6379999999999999</v>
      </c>
      <c r="AK9">
        <v>6.5579999999999998</v>
      </c>
      <c r="AL9">
        <f t="shared" si="6"/>
        <v>6.5165999999999995</v>
      </c>
      <c r="AM9" s="42">
        <f t="shared" si="7"/>
        <v>1.7110149464444641E-2</v>
      </c>
      <c r="AN9" t="s">
        <v>381</v>
      </c>
      <c r="AO9" t="s">
        <v>162</v>
      </c>
      <c r="AP9" t="s">
        <v>164</v>
      </c>
      <c r="AQ9">
        <v>1045</v>
      </c>
      <c r="AR9" s="43">
        <v>45709</v>
      </c>
      <c r="AS9" t="s">
        <v>322</v>
      </c>
      <c r="AT9">
        <v>1144.4000000000001</v>
      </c>
      <c r="AU9">
        <v>1152.0999999999999</v>
      </c>
      <c r="AV9">
        <v>1216.0999999999999</v>
      </c>
      <c r="AW9">
        <v>1314.5</v>
      </c>
      <c r="AX9">
        <v>1260.0999999999999</v>
      </c>
      <c r="AY9">
        <f t="shared" si="8"/>
        <v>1217.44</v>
      </c>
      <c r="AZ9" s="42">
        <f t="shared" si="9"/>
        <v>6.9859705611775486E-2</v>
      </c>
      <c r="BA9">
        <v>642.49</v>
      </c>
      <c r="BB9">
        <v>637.62</v>
      </c>
      <c r="BC9">
        <v>645.63</v>
      </c>
      <c r="BD9">
        <v>632.54999999999995</v>
      </c>
      <c r="BE9">
        <v>639.1</v>
      </c>
      <c r="BF9">
        <f>AVERAGE(BA9:BE9)</f>
        <v>639.47799999999995</v>
      </c>
      <c r="BG9" s="42">
        <f>(MAX(BA9:BE9)-MIN(BA9:BE9))/(2*BF9)</f>
        <v>1.022709147148146E-2</v>
      </c>
      <c r="BL9" s="42"/>
      <c r="BM9">
        <f>(BF9-AY9/1000)/AQ9</f>
        <v>0.61077565550239232</v>
      </c>
      <c r="BN9">
        <f>((F9-AY9)/1000)/(AQ9-(AE9/0.013))</f>
        <v>3.182608362021758E-3</v>
      </c>
      <c r="BO9">
        <f>BM9/BN9</f>
        <v>191.91040367731452</v>
      </c>
      <c r="BP9" s="42"/>
    </row>
    <row r="10" spans="1:68" ht="14.4" x14ac:dyDescent="0.3">
      <c r="A10" t="s">
        <v>169</v>
      </c>
      <c r="D10" s="76"/>
      <c r="E10" s="76"/>
      <c r="F10" s="76"/>
      <c r="G10" s="77"/>
      <c r="H10" s="78"/>
      <c r="I10" s="79"/>
      <c r="J10" s="79"/>
      <c r="K10" s="80"/>
      <c r="L10" s="77"/>
      <c r="M10" s="78"/>
      <c r="N10" s="81"/>
      <c r="O10" s="81"/>
      <c r="P10" s="81"/>
      <c r="Q10" s="81"/>
      <c r="R10" s="81"/>
      <c r="S10" s="81"/>
      <c r="T10" s="82"/>
      <c r="U10" s="81"/>
      <c r="V10" s="81"/>
      <c r="W10" s="81"/>
      <c r="X10" s="83"/>
      <c r="Y10" s="81"/>
      <c r="Z10" s="81"/>
      <c r="AA10" s="81"/>
      <c r="AB10" s="81"/>
      <c r="AC10" s="81"/>
      <c r="AD10" s="81"/>
      <c r="AE10" s="81"/>
      <c r="AF10" s="82"/>
      <c r="AG10" s="81"/>
      <c r="AH10" s="81"/>
      <c r="AI10" s="81"/>
      <c r="AJ10" s="81"/>
      <c r="AK10" s="81"/>
      <c r="AL10" s="81"/>
      <c r="AM10" s="82"/>
      <c r="AN10" t="s">
        <v>381</v>
      </c>
      <c r="AO10" t="s">
        <v>162</v>
      </c>
      <c r="AP10" t="s">
        <v>164</v>
      </c>
      <c r="AQ10">
        <v>200</v>
      </c>
      <c r="AR10" s="43">
        <v>45714</v>
      </c>
      <c r="AS10" t="s">
        <v>322</v>
      </c>
      <c r="AT10">
        <v>388.89</v>
      </c>
      <c r="AU10">
        <v>404.65</v>
      </c>
      <c r="AV10">
        <v>494.43</v>
      </c>
      <c r="AW10">
        <v>594.53</v>
      </c>
      <c r="AX10">
        <v>494.8</v>
      </c>
      <c r="AY10">
        <f t="shared" si="8"/>
        <v>475.46000000000004</v>
      </c>
      <c r="AZ10" s="42">
        <f t="shared" si="9"/>
        <v>0.21625373322676983</v>
      </c>
      <c r="BA10" t="s">
        <v>386</v>
      </c>
      <c r="BF10">
        <v>760</v>
      </c>
      <c r="BG10" s="42"/>
      <c r="BL10" s="42"/>
      <c r="BP10" s="42"/>
    </row>
    <row r="11" spans="1:68" ht="14.4" x14ac:dyDescent="0.3">
      <c r="A11" t="s">
        <v>171</v>
      </c>
      <c r="B11" t="s">
        <v>329</v>
      </c>
      <c r="D11" s="76"/>
      <c r="E11" s="76"/>
      <c r="F11" s="76"/>
      <c r="G11" s="77"/>
      <c r="H11" s="78"/>
      <c r="I11" s="79"/>
      <c r="J11" s="79"/>
      <c r="K11" s="80"/>
      <c r="L11" s="77"/>
      <c r="M11" s="78"/>
      <c r="N11" s="81"/>
      <c r="O11" s="81"/>
      <c r="P11" s="81"/>
      <c r="Q11" s="81"/>
      <c r="R11" s="81"/>
      <c r="S11" s="81"/>
      <c r="T11" s="82"/>
      <c r="U11" s="81"/>
      <c r="V11" s="81"/>
      <c r="W11" s="81"/>
      <c r="X11" s="83"/>
      <c r="Y11" s="81"/>
      <c r="Z11" s="81"/>
      <c r="AA11" s="81"/>
      <c r="AB11" s="81"/>
      <c r="AC11" s="81"/>
      <c r="AD11" s="81"/>
      <c r="AE11" s="81"/>
      <c r="AF11" s="82"/>
      <c r="AG11" s="81"/>
      <c r="AH11" s="81"/>
      <c r="AI11" s="81"/>
      <c r="AJ11" s="81"/>
      <c r="AK11" s="81"/>
      <c r="AL11" s="81"/>
      <c r="AM11" s="82"/>
      <c r="AN11" t="s">
        <v>381</v>
      </c>
      <c r="AO11" t="s">
        <v>162</v>
      </c>
      <c r="AP11" t="s">
        <v>164</v>
      </c>
      <c r="AQ11">
        <v>150</v>
      </c>
      <c r="AR11" s="43">
        <v>45714</v>
      </c>
      <c r="AS11" t="s">
        <v>322</v>
      </c>
      <c r="AT11">
        <v>0</v>
      </c>
      <c r="AU11">
        <v>0</v>
      </c>
      <c r="AV11">
        <v>0</v>
      </c>
      <c r="AW11">
        <v>51.01</v>
      </c>
      <c r="AX11">
        <v>51.67</v>
      </c>
      <c r="AY11">
        <f t="shared" si="8"/>
        <v>20.536000000000001</v>
      </c>
      <c r="AZ11" s="42">
        <f t="shared" si="9"/>
        <v>1.2580346708219712</v>
      </c>
      <c r="BA11" t="s">
        <v>387</v>
      </c>
      <c r="BF11">
        <v>850</v>
      </c>
      <c r="BG11" s="42"/>
      <c r="BH11" t="s">
        <v>329</v>
      </c>
      <c r="BL11" s="42" t="s">
        <v>388</v>
      </c>
      <c r="BP11" s="42"/>
    </row>
    <row r="12" spans="1:68" ht="14.4" x14ac:dyDescent="0.3">
      <c r="A12" t="s">
        <v>137</v>
      </c>
      <c r="B12" t="s">
        <v>329</v>
      </c>
      <c r="D12" s="28">
        <v>4050</v>
      </c>
      <c r="E12" s="28">
        <v>4100</v>
      </c>
      <c r="F12" s="50">
        <f t="shared" si="0"/>
        <v>4075</v>
      </c>
      <c r="G12" s="54"/>
      <c r="H12" s="56"/>
      <c r="I12" s="18">
        <v>7.1</v>
      </c>
      <c r="J12" s="18">
        <v>7.6</v>
      </c>
      <c r="K12" s="51">
        <f t="shared" si="1"/>
        <v>7.35</v>
      </c>
      <c r="L12" s="54"/>
      <c r="M12" s="56"/>
      <c r="N12">
        <v>7.1079999999999997</v>
      </c>
      <c r="O12">
        <v>7.1710000000000003</v>
      </c>
      <c r="P12">
        <v>7.1479999999999997</v>
      </c>
      <c r="Q12">
        <v>7.1749999999999998</v>
      </c>
      <c r="R12">
        <v>7.1449999999999996</v>
      </c>
      <c r="S12">
        <f t="shared" si="2"/>
        <v>7.1494</v>
      </c>
      <c r="T12" s="42">
        <f t="shared" si="3"/>
        <v>4.6857078915713323E-3</v>
      </c>
      <c r="U12" t="s">
        <v>374</v>
      </c>
      <c r="V12" t="s">
        <v>131</v>
      </c>
      <c r="W12" t="s">
        <v>379</v>
      </c>
      <c r="X12" s="43">
        <v>45677</v>
      </c>
      <c r="Y12" t="s">
        <v>384</v>
      </c>
      <c r="Z12">
        <v>2.1839</v>
      </c>
      <c r="AA12">
        <v>2.2987000000000002</v>
      </c>
      <c r="AB12">
        <v>2.4897</v>
      </c>
      <c r="AC12">
        <v>2.4645999999999999</v>
      </c>
      <c r="AD12">
        <v>2.3837000000000002</v>
      </c>
      <c r="AE12">
        <f t="shared" ref="AE12" si="14">AVERAGE(Z12:AD12)</f>
        <v>2.3641199999999998</v>
      </c>
      <c r="AF12" s="42">
        <f t="shared" ref="AF12" si="15">(MAX(Z12:AD12)-MIN(Z12:AD12))/(2*AE12)</f>
        <v>6.4675227991810927E-2</v>
      </c>
      <c r="AG12">
        <v>6.6740000000000004</v>
      </c>
      <c r="AH12">
        <v>6.6070000000000002</v>
      </c>
      <c r="AI12">
        <v>6.6639999999999997</v>
      </c>
      <c r="AJ12">
        <v>6.8470000000000004</v>
      </c>
      <c r="AK12">
        <v>6.67</v>
      </c>
      <c r="AL12">
        <f t="shared" si="6"/>
        <v>6.692400000000001</v>
      </c>
      <c r="AM12" s="42">
        <f t="shared" ref="AM12" si="16">(MAX(AG12:AK12)-MIN(AG12:AK12))/(2*AL12)</f>
        <v>1.7930787161556407E-2</v>
      </c>
      <c r="AN12" t="s">
        <v>381</v>
      </c>
      <c r="AO12" t="s">
        <v>174</v>
      </c>
      <c r="AP12" t="s">
        <v>175</v>
      </c>
      <c r="AQ12">
        <v>1295</v>
      </c>
      <c r="AR12" s="43">
        <v>45716</v>
      </c>
      <c r="AS12" t="s">
        <v>322</v>
      </c>
      <c r="AT12">
        <v>383.81</v>
      </c>
      <c r="AU12">
        <v>369.38</v>
      </c>
      <c r="AV12">
        <v>487.03</v>
      </c>
      <c r="AW12">
        <v>609.42999999999995</v>
      </c>
      <c r="AX12">
        <v>511.88</v>
      </c>
      <c r="AY12">
        <f t="shared" si="8"/>
        <v>472.30600000000004</v>
      </c>
      <c r="AZ12" s="42">
        <f t="shared" si="9"/>
        <v>0.25412550338128242</v>
      </c>
      <c r="BA12" t="s">
        <v>389</v>
      </c>
      <c r="BF12">
        <v>800</v>
      </c>
      <c r="BG12" s="42"/>
      <c r="BH12" t="s">
        <v>329</v>
      </c>
      <c r="BL12" s="42"/>
      <c r="BP12" s="42"/>
    </row>
  </sheetData>
  <mergeCells count="2">
    <mergeCell ref="Y1:AF1"/>
    <mergeCell ref="AS1:AZ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542FF73-78B8-4E4F-882A-EDDCC78799FF}">
          <x14:formula1>
            <xm:f>'Process flow'!$A$3:$A$24</xm:f>
          </x14:formula1>
          <xm:sqref>B3:C20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FCB0-51AD-43BA-930B-D5CDA494AE9A}">
  <dimension ref="A1:BX16"/>
  <sheetViews>
    <sheetView zoomScale="92" workbookViewId="0">
      <pane xSplit="3" ySplit="2" topLeftCell="E3" activePane="bottomRight" state="frozen"/>
      <selection pane="topRight" activeCell="D1" sqref="D1"/>
      <selection pane="bottomLeft" activeCell="A3" sqref="A3"/>
      <selection pane="bottomRight" activeCell="M5" sqref="M5:M12"/>
    </sheetView>
  </sheetViews>
  <sheetFormatPr defaultRowHeight="15" customHeight="1" x14ac:dyDescent="0.3"/>
  <cols>
    <col min="2" max="2" width="11.5546875" customWidth="1"/>
    <col min="3" max="3" width="21.5546875" bestFit="1" customWidth="1"/>
    <col min="4" max="4" width="8.88671875" customWidth="1"/>
    <col min="16" max="17" width="8.88671875" customWidth="1"/>
    <col min="20" max="20" width="8.88671875" customWidth="1"/>
    <col min="21" max="21" width="13.6640625" customWidth="1"/>
    <col min="22" max="22" width="20.88671875" customWidth="1"/>
    <col min="23" max="23" width="10.33203125" customWidth="1"/>
    <col min="24" max="24" width="11.44140625" customWidth="1"/>
    <col min="25" max="25" width="26.88671875" customWidth="1"/>
    <col min="26" max="26" width="8.88671875" customWidth="1"/>
    <col min="37" max="39" width="8.88671875" customWidth="1"/>
    <col min="40" max="40" width="14" customWidth="1"/>
    <col min="41" max="41" width="18.88671875" customWidth="1"/>
    <col min="42" max="42" width="9.5546875" customWidth="1"/>
    <col min="44" max="44" width="11" customWidth="1"/>
    <col min="45" max="45" width="14.88671875" customWidth="1"/>
    <col min="46" max="50" width="8.88671875" customWidth="1"/>
    <col min="54" max="54" width="8.6640625" bestFit="1" customWidth="1"/>
    <col min="55" max="55" width="8.88671875" customWidth="1"/>
    <col min="68" max="70" width="12.6640625" customWidth="1"/>
    <col min="71" max="71" width="16.33203125" customWidth="1"/>
    <col min="72" max="72" width="45" customWidth="1"/>
    <col min="73" max="73" width="9.5546875" customWidth="1"/>
    <col min="74" max="74" width="13.6640625" customWidth="1"/>
    <col min="75" max="75" width="11.5546875" customWidth="1"/>
    <col min="76" max="76" width="14.44140625" customWidth="1"/>
    <col min="77" max="80" width="8.88671875" bestFit="1" customWidth="1"/>
  </cols>
  <sheetData>
    <row r="1" spans="1:76" ht="14.4" x14ac:dyDescent="0.3">
      <c r="A1" s="8" t="s">
        <v>74</v>
      </c>
      <c r="B1" s="9"/>
      <c r="C1" s="10"/>
      <c r="D1" s="32" t="s">
        <v>279</v>
      </c>
      <c r="E1" s="33"/>
      <c r="F1" s="33"/>
      <c r="G1" s="33"/>
      <c r="H1" s="34"/>
      <c r="I1" s="32" t="s">
        <v>352</v>
      </c>
      <c r="J1" s="33"/>
      <c r="K1" s="33"/>
      <c r="L1" s="33"/>
      <c r="M1" s="34"/>
      <c r="N1" s="35" t="s">
        <v>353</v>
      </c>
      <c r="O1" s="36"/>
      <c r="P1" s="36"/>
      <c r="Q1" s="36"/>
      <c r="R1" s="36"/>
      <c r="S1" s="36"/>
      <c r="T1" s="37"/>
      <c r="U1" s="21" t="s">
        <v>354</v>
      </c>
      <c r="V1" s="22"/>
      <c r="W1" s="22"/>
      <c r="X1" s="23"/>
      <c r="Y1" s="137" t="s">
        <v>355</v>
      </c>
      <c r="Z1" s="138"/>
      <c r="AA1" s="138"/>
      <c r="AB1" s="138"/>
      <c r="AC1" s="138"/>
      <c r="AD1" s="138"/>
      <c r="AE1" s="138"/>
      <c r="AF1" s="139"/>
      <c r="AG1" s="24" t="s">
        <v>356</v>
      </c>
      <c r="AH1" s="25"/>
      <c r="AI1" s="25"/>
      <c r="AJ1" s="25"/>
      <c r="AK1" s="25"/>
      <c r="AL1" s="25"/>
      <c r="AM1" s="26"/>
      <c r="AN1" s="21" t="s">
        <v>357</v>
      </c>
      <c r="AO1" s="22"/>
      <c r="AP1" s="22"/>
      <c r="AQ1" s="22"/>
      <c r="AR1" s="23"/>
      <c r="AS1" s="137" t="s">
        <v>358</v>
      </c>
      <c r="AT1" s="138"/>
      <c r="AU1" s="138"/>
      <c r="AV1" s="138"/>
      <c r="AW1" s="138"/>
      <c r="AX1" s="138"/>
      <c r="AY1" s="138"/>
      <c r="AZ1" s="139"/>
      <c r="BA1" s="40" t="s">
        <v>390</v>
      </c>
      <c r="BB1" s="38"/>
      <c r="BC1" s="38"/>
      <c r="BD1" s="38"/>
      <c r="BE1" s="45"/>
      <c r="BF1" s="40" t="s">
        <v>391</v>
      </c>
      <c r="BG1" s="38"/>
      <c r="BH1" s="38"/>
      <c r="BI1" s="38"/>
      <c r="BJ1" s="38"/>
      <c r="BK1" s="40" t="s">
        <v>392</v>
      </c>
      <c r="BL1" s="38"/>
      <c r="BM1" s="38"/>
      <c r="BN1" s="38"/>
      <c r="BO1" s="38"/>
      <c r="BP1" s="58" t="s">
        <v>360</v>
      </c>
      <c r="BQ1" s="59"/>
      <c r="BR1" s="59"/>
      <c r="BS1" s="59"/>
      <c r="BT1" s="60"/>
      <c r="BU1" s="61" t="s">
        <v>78</v>
      </c>
      <c r="BV1" s="9" t="s">
        <v>79</v>
      </c>
      <c r="BW1" s="62" t="s">
        <v>80</v>
      </c>
      <c r="BX1" s="62" t="s">
        <v>81</v>
      </c>
    </row>
    <row r="2" spans="1:76" ht="66.599999999999994" x14ac:dyDescent="0.3">
      <c r="A2" s="11"/>
      <c r="B2" s="12" t="s">
        <v>82</v>
      </c>
      <c r="C2" s="13" t="s">
        <v>83</v>
      </c>
      <c r="D2" s="12" t="s">
        <v>119</v>
      </c>
      <c r="E2" s="12" t="s">
        <v>120</v>
      </c>
      <c r="F2" s="12" t="s">
        <v>89</v>
      </c>
      <c r="G2" s="12" t="s">
        <v>121</v>
      </c>
      <c r="H2" s="14" t="s">
        <v>122</v>
      </c>
      <c r="I2" s="12" t="s">
        <v>119</v>
      </c>
      <c r="J2" s="12" t="s">
        <v>120</v>
      </c>
      <c r="K2" s="12" t="s">
        <v>89</v>
      </c>
      <c r="L2" s="12" t="s">
        <v>121</v>
      </c>
      <c r="M2" s="14" t="s">
        <v>122</v>
      </c>
      <c r="N2" s="12" t="s">
        <v>84</v>
      </c>
      <c r="O2" s="15" t="s">
        <v>85</v>
      </c>
      <c r="P2" s="12" t="s">
        <v>86</v>
      </c>
      <c r="Q2" s="12" t="s">
        <v>87</v>
      </c>
      <c r="R2" s="12" t="s">
        <v>88</v>
      </c>
      <c r="S2" s="16" t="s">
        <v>89</v>
      </c>
      <c r="T2" s="17" t="s">
        <v>90</v>
      </c>
      <c r="U2" s="12" t="s">
        <v>361</v>
      </c>
      <c r="V2" s="12" t="s">
        <v>3</v>
      </c>
      <c r="W2" s="15" t="s">
        <v>362</v>
      </c>
      <c r="X2" s="17" t="s">
        <v>125</v>
      </c>
      <c r="Y2" s="39" t="s">
        <v>3</v>
      </c>
      <c r="Z2" s="12" t="s">
        <v>84</v>
      </c>
      <c r="AA2" s="15" t="s">
        <v>85</v>
      </c>
      <c r="AB2" s="12" t="s">
        <v>86</v>
      </c>
      <c r="AC2" s="12" t="s">
        <v>87</v>
      </c>
      <c r="AD2" s="12" t="s">
        <v>88</v>
      </c>
      <c r="AE2" s="16" t="s">
        <v>89</v>
      </c>
      <c r="AF2" s="17" t="s">
        <v>90</v>
      </c>
      <c r="AG2" s="12" t="s">
        <v>84</v>
      </c>
      <c r="AH2" s="15" t="s">
        <v>85</v>
      </c>
      <c r="AI2" s="12" t="s">
        <v>86</v>
      </c>
      <c r="AJ2" s="12" t="s">
        <v>87</v>
      </c>
      <c r="AK2" s="12" t="s">
        <v>88</v>
      </c>
      <c r="AL2" s="16" t="s">
        <v>89</v>
      </c>
      <c r="AM2" s="17" t="s">
        <v>90</v>
      </c>
      <c r="AN2" s="12" t="s">
        <v>361</v>
      </c>
      <c r="AO2" s="12" t="s">
        <v>3</v>
      </c>
      <c r="AP2" s="15" t="s">
        <v>363</v>
      </c>
      <c r="AQ2" s="15" t="s">
        <v>364</v>
      </c>
      <c r="AR2" s="17" t="s">
        <v>125</v>
      </c>
      <c r="AS2" s="39" t="s">
        <v>3</v>
      </c>
      <c r="AT2" s="12" t="s">
        <v>84</v>
      </c>
      <c r="AU2" s="15" t="s">
        <v>85</v>
      </c>
      <c r="AV2" s="12" t="s">
        <v>86</v>
      </c>
      <c r="AW2" s="12" t="s">
        <v>87</v>
      </c>
      <c r="AX2" s="12" t="s">
        <v>88</v>
      </c>
      <c r="AY2" s="16" t="s">
        <v>89</v>
      </c>
      <c r="AZ2" s="17" t="s">
        <v>90</v>
      </c>
      <c r="BA2" s="12" t="s">
        <v>84</v>
      </c>
      <c r="BB2" s="12" t="s">
        <v>87</v>
      </c>
      <c r="BC2" s="12" t="s">
        <v>86</v>
      </c>
      <c r="BD2" s="16" t="s">
        <v>89</v>
      </c>
      <c r="BE2" s="46" t="s">
        <v>90</v>
      </c>
      <c r="BF2" s="12" t="s">
        <v>84</v>
      </c>
      <c r="BG2" s="12" t="s">
        <v>87</v>
      </c>
      <c r="BH2" s="12" t="s">
        <v>86</v>
      </c>
      <c r="BI2" s="16" t="s">
        <v>89</v>
      </c>
      <c r="BJ2" s="46" t="s">
        <v>90</v>
      </c>
      <c r="BK2" s="12" t="s">
        <v>84</v>
      </c>
      <c r="BL2" s="12" t="s">
        <v>87</v>
      </c>
      <c r="BM2" s="12" t="s">
        <v>86</v>
      </c>
      <c r="BN2" s="16" t="s">
        <v>89</v>
      </c>
      <c r="BO2" s="46" t="s">
        <v>90</v>
      </c>
      <c r="BP2" s="52" t="s">
        <v>366</v>
      </c>
      <c r="BQ2" s="52" t="s">
        <v>393</v>
      </c>
      <c r="BR2" s="52" t="s">
        <v>394</v>
      </c>
      <c r="BS2" s="52" t="s">
        <v>395</v>
      </c>
      <c r="BT2" s="64" t="s">
        <v>96</v>
      </c>
      <c r="BU2" s="65" t="s">
        <v>369</v>
      </c>
      <c r="BV2" s="66" t="s">
        <v>101</v>
      </c>
      <c r="BW2" s="66" t="s">
        <v>102</v>
      </c>
      <c r="BX2" s="42" t="s">
        <v>370</v>
      </c>
    </row>
    <row r="3" spans="1:76" ht="14.4" x14ac:dyDescent="0.3">
      <c r="A3" t="s">
        <v>136</v>
      </c>
      <c r="B3" t="s">
        <v>329</v>
      </c>
      <c r="D3" s="28">
        <v>4000</v>
      </c>
      <c r="E3" s="28">
        <v>4050</v>
      </c>
      <c r="F3" s="50">
        <f t="shared" ref="F3" si="0">AVERAGE(D3,E3)</f>
        <v>4025</v>
      </c>
      <c r="G3" s="54"/>
      <c r="H3" s="56"/>
      <c r="I3" s="18">
        <v>7.1</v>
      </c>
      <c r="J3" s="18">
        <v>7.4</v>
      </c>
      <c r="K3" s="51">
        <f t="shared" ref="K3" si="1">AVERAGE(I3,J3)</f>
        <v>7.25</v>
      </c>
      <c r="L3" s="54"/>
      <c r="M3" s="56"/>
      <c r="N3">
        <v>7.0439999999999996</v>
      </c>
      <c r="O3">
        <v>7.1849999999999996</v>
      </c>
      <c r="P3">
        <v>7.109</v>
      </c>
      <c r="Q3">
        <v>7.0750000000000002</v>
      </c>
      <c r="R3">
        <v>7.1150000000000002</v>
      </c>
      <c r="S3">
        <f t="shared" ref="S3" si="2">AVERAGE(N3:R3)</f>
        <v>7.1055999999999999</v>
      </c>
      <c r="T3" s="42">
        <f t="shared" ref="T3" si="3">(MAX(N3:R3)-MIN(N3:R3))/(2*S3)</f>
        <v>9.9217518576897104E-3</v>
      </c>
      <c r="U3" t="s">
        <v>374</v>
      </c>
      <c r="V3" t="s">
        <v>131</v>
      </c>
      <c r="W3" t="s">
        <v>379</v>
      </c>
      <c r="X3" s="43">
        <v>45677</v>
      </c>
      <c r="Y3" t="s">
        <v>384</v>
      </c>
      <c r="Z3">
        <v>1.8880999999999999</v>
      </c>
      <c r="AA3">
        <v>2.1421999999999999</v>
      </c>
      <c r="AB3">
        <v>2.1120999999999999</v>
      </c>
      <c r="AC3">
        <v>2.2328000000000001</v>
      </c>
      <c r="AD3">
        <v>2.2096</v>
      </c>
      <c r="AE3">
        <f t="shared" ref="AE3" si="4">AVERAGE(Z3:AD3)</f>
        <v>2.1169599999999997</v>
      </c>
      <c r="AF3" s="42">
        <f t="shared" ref="AF3" si="5">(MAX(Z3:AD3)-MIN(Z3:AD3))/(2*AE3)</f>
        <v>8.1413914292192649E-2</v>
      </c>
      <c r="AG3">
        <v>6.44</v>
      </c>
      <c r="AH3">
        <v>6.415</v>
      </c>
      <c r="AI3">
        <v>6.532</v>
      </c>
      <c r="AJ3">
        <v>6.6379999999999999</v>
      </c>
      <c r="AK3">
        <v>6.5579999999999998</v>
      </c>
      <c r="AL3">
        <f t="shared" ref="AL3" si="6">AVERAGE(AG3:AK3)</f>
        <v>6.5165999999999995</v>
      </c>
      <c r="AM3" s="42">
        <f t="shared" ref="AM3" si="7">(MAX(AG3:AK3)-MIN(AG3:AK3))/(2*AL3)</f>
        <v>1.7110149464444641E-2</v>
      </c>
      <c r="AN3" t="s">
        <v>381</v>
      </c>
      <c r="AO3" t="s">
        <v>162</v>
      </c>
      <c r="AP3" t="s">
        <v>164</v>
      </c>
      <c r="AQ3">
        <v>150</v>
      </c>
      <c r="AR3" s="43">
        <v>45714</v>
      </c>
      <c r="AS3" t="s">
        <v>322</v>
      </c>
      <c r="AT3">
        <v>0</v>
      </c>
      <c r="AU3">
        <v>0</v>
      </c>
      <c r="AV3">
        <v>0</v>
      </c>
      <c r="AW3">
        <v>51.01</v>
      </c>
      <c r="AX3">
        <v>51.67</v>
      </c>
      <c r="AY3">
        <f>AVERAGE(AT3:AX3)</f>
        <v>20.536000000000001</v>
      </c>
      <c r="AZ3" s="42">
        <f>(MAX(AT3:AX3)-MIN(AT3:AX3))/(2*AY3)</f>
        <v>1.2580346708219712</v>
      </c>
      <c r="BB3">
        <v>845</v>
      </c>
      <c r="BD3">
        <f t="shared" ref="BD3:BD12" si="8">AVERAGE(BA3:BC3)</f>
        <v>845</v>
      </c>
      <c r="BE3" s="42">
        <f t="shared" ref="BE3:BE12" si="9">(MAX(BA3:BC3)-MIN(BA3:BC3))/(2*BD3)</f>
        <v>0</v>
      </c>
      <c r="BG3">
        <v>746</v>
      </c>
      <c r="BI3">
        <f t="shared" ref="BI3:BI12" si="10">AVERAGE(BF3:BH3)</f>
        <v>746</v>
      </c>
      <c r="BJ3" s="42">
        <f t="shared" ref="BJ3:BJ12" si="11">(MAX(BA3:BC3)-MIN(BA3:BC3))/(2*BD3)</f>
        <v>0</v>
      </c>
      <c r="BL3">
        <v>655</v>
      </c>
      <c r="BN3">
        <f t="shared" ref="BN3:BN12" si="12">AVERAGE(BK3:BM3)</f>
        <v>655</v>
      </c>
      <c r="BO3" s="42">
        <f t="shared" ref="BO3:BO12" si="13">(MAX(BF3:BH3)-MIN(BF3:BH3))/(2*BI3)</f>
        <v>0</v>
      </c>
      <c r="BP3">
        <v>860.8</v>
      </c>
      <c r="BQ3">
        <v>772.2</v>
      </c>
      <c r="BR3">
        <v>683.5</v>
      </c>
      <c r="BS3">
        <v>304.89999999999998</v>
      </c>
      <c r="BT3" s="42" t="s">
        <v>388</v>
      </c>
      <c r="BX3" s="42"/>
    </row>
    <row r="4" spans="1:76" ht="14.4" x14ac:dyDescent="0.3">
      <c r="A4" t="s">
        <v>137</v>
      </c>
      <c r="B4" t="s">
        <v>329</v>
      </c>
      <c r="D4" s="28">
        <v>4050</v>
      </c>
      <c r="E4" s="28">
        <v>4100</v>
      </c>
      <c r="F4" s="50">
        <f>AVERAGE(D4,E4)</f>
        <v>4075</v>
      </c>
      <c r="G4" s="54"/>
      <c r="H4" s="56"/>
      <c r="I4" s="18">
        <v>7.1</v>
      </c>
      <c r="J4" s="18">
        <v>7.6</v>
      </c>
      <c r="K4" s="51">
        <f>AVERAGE(I4,J4)</f>
        <v>7.35</v>
      </c>
      <c r="L4" s="54"/>
      <c r="M4" s="56"/>
      <c r="N4">
        <v>7.1079999999999997</v>
      </c>
      <c r="O4">
        <v>7.1710000000000003</v>
      </c>
      <c r="P4">
        <v>7.1479999999999997</v>
      </c>
      <c r="Q4">
        <v>7.1749999999999998</v>
      </c>
      <c r="R4">
        <v>7.1449999999999996</v>
      </c>
      <c r="S4">
        <f t="shared" ref="S4:S12" si="14">AVERAGE(N4:R4)</f>
        <v>7.1494</v>
      </c>
      <c r="T4" s="42">
        <f t="shared" ref="T4:T12" si="15">(MAX(N4:R4)-MIN(N4:R4))/(2*S4)</f>
        <v>4.6857078915713323E-3</v>
      </c>
      <c r="U4" t="s">
        <v>374</v>
      </c>
      <c r="V4" t="s">
        <v>131</v>
      </c>
      <c r="W4" t="s">
        <v>379</v>
      </c>
      <c r="X4" s="43">
        <v>45677</v>
      </c>
      <c r="Y4" t="s">
        <v>384</v>
      </c>
      <c r="Z4">
        <v>2.1839</v>
      </c>
      <c r="AA4">
        <v>2.2987000000000002</v>
      </c>
      <c r="AB4">
        <v>2.4897</v>
      </c>
      <c r="AC4">
        <v>2.4645999999999999</v>
      </c>
      <c r="AD4">
        <v>2.3837000000000002</v>
      </c>
      <c r="AE4">
        <f t="shared" ref="AE4" si="16">AVERAGE(Z4:AD4)</f>
        <v>2.3641199999999998</v>
      </c>
      <c r="AF4" s="42">
        <f t="shared" ref="AF4" si="17">(MAX(Z4:AD4)-MIN(Z4:AD4))/(2*AE4)</f>
        <v>6.4675227991810927E-2</v>
      </c>
      <c r="AG4">
        <v>6.6740000000000004</v>
      </c>
      <c r="AH4">
        <v>6.6070000000000002</v>
      </c>
      <c r="AI4">
        <v>6.6639999999999997</v>
      </c>
      <c r="AJ4">
        <v>6.8470000000000004</v>
      </c>
      <c r="AK4">
        <v>6.67</v>
      </c>
      <c r="AL4">
        <f t="shared" ref="AL4:AL12" si="18">AVERAGE(AG4:AK4)</f>
        <v>6.692400000000001</v>
      </c>
      <c r="AM4" s="42">
        <f t="shared" ref="AM4:AM12" si="19">(MAX(AG4:AK4)-MIN(AG4:AK4))/(2*AL4)</f>
        <v>1.7930787161556407E-2</v>
      </c>
      <c r="AN4" t="s">
        <v>381</v>
      </c>
      <c r="AO4" t="s">
        <v>174</v>
      </c>
      <c r="AP4" t="s">
        <v>175</v>
      </c>
      <c r="AQ4">
        <v>1295</v>
      </c>
      <c r="AR4" s="43">
        <v>45716</v>
      </c>
      <c r="AS4" t="s">
        <v>322</v>
      </c>
      <c r="AT4">
        <v>383.81</v>
      </c>
      <c r="AU4">
        <v>369.38</v>
      </c>
      <c r="AV4">
        <v>487.03</v>
      </c>
      <c r="AW4">
        <v>609.42999999999995</v>
      </c>
      <c r="AX4">
        <v>511.88</v>
      </c>
      <c r="AY4">
        <f>AVERAGE(AT4:AX4)</f>
        <v>472.30600000000004</v>
      </c>
      <c r="AZ4" s="42">
        <f>(MAX(AT4:AX4)-MIN(AT4:AX4))/(2*AY4)</f>
        <v>0.25412550338128242</v>
      </c>
      <c r="BA4">
        <v>804</v>
      </c>
      <c r="BB4">
        <v>797.5</v>
      </c>
      <c r="BC4">
        <v>804.2</v>
      </c>
      <c r="BD4">
        <f t="shared" si="8"/>
        <v>801.9</v>
      </c>
      <c r="BE4" s="42">
        <f t="shared" si="9"/>
        <v>4.1775782516523538E-3</v>
      </c>
      <c r="BF4">
        <v>711.3</v>
      </c>
      <c r="BG4">
        <v>708.6</v>
      </c>
      <c r="BH4">
        <v>713.1</v>
      </c>
      <c r="BI4">
        <f t="shared" si="10"/>
        <v>711</v>
      </c>
      <c r="BJ4" s="42">
        <f t="shared" si="11"/>
        <v>4.1775782516523538E-3</v>
      </c>
      <c r="BK4">
        <v>621.6</v>
      </c>
      <c r="BL4">
        <v>624.4</v>
      </c>
      <c r="BM4">
        <v>625</v>
      </c>
      <c r="BN4">
        <f t="shared" si="12"/>
        <v>623.66666666666663</v>
      </c>
      <c r="BO4" s="42">
        <f t="shared" si="13"/>
        <v>3.1645569620253164E-3</v>
      </c>
      <c r="BP4">
        <v>820.3</v>
      </c>
      <c r="BQ4">
        <v>744.9</v>
      </c>
      <c r="BR4">
        <v>661.5</v>
      </c>
      <c r="BS4">
        <v>292.5</v>
      </c>
      <c r="BT4" s="42" t="s">
        <v>396</v>
      </c>
      <c r="BX4" s="42"/>
    </row>
    <row r="5" spans="1:76" ht="14.4" x14ac:dyDescent="0.3">
      <c r="A5" t="s">
        <v>138</v>
      </c>
      <c r="B5" t="s">
        <v>329</v>
      </c>
      <c r="D5" s="28">
        <v>3928</v>
      </c>
      <c r="E5" s="28">
        <v>4074</v>
      </c>
      <c r="F5">
        <v>3975</v>
      </c>
      <c r="G5">
        <v>44.17</v>
      </c>
      <c r="H5" s="42">
        <v>1.8</v>
      </c>
      <c r="I5" s="19">
        <v>6.31</v>
      </c>
      <c r="J5" s="19">
        <v>6.7690000000000001</v>
      </c>
      <c r="K5">
        <v>6.5979999999999999</v>
      </c>
      <c r="L5">
        <v>8.2040000000000002E-2</v>
      </c>
      <c r="M5" s="42">
        <v>3.5</v>
      </c>
      <c r="N5">
        <v>6.71</v>
      </c>
      <c r="O5">
        <v>6.59</v>
      </c>
      <c r="P5">
        <v>6.65</v>
      </c>
      <c r="Q5">
        <v>6.96</v>
      </c>
      <c r="R5">
        <v>6.6</v>
      </c>
      <c r="S5">
        <f t="shared" si="14"/>
        <v>6.7020000000000008</v>
      </c>
      <c r="T5" s="42">
        <f t="shared" si="15"/>
        <v>2.7603700387943901E-2</v>
      </c>
      <c r="U5" t="s">
        <v>374</v>
      </c>
      <c r="V5" t="s">
        <v>131</v>
      </c>
      <c r="W5" t="s">
        <v>379</v>
      </c>
      <c r="X5" s="43">
        <v>45691</v>
      </c>
      <c r="Y5" t="s">
        <v>384</v>
      </c>
      <c r="Z5" s="20"/>
      <c r="AA5" s="20"/>
      <c r="AB5" s="20"/>
      <c r="AC5" s="20"/>
      <c r="AD5" s="20"/>
      <c r="AE5" s="20"/>
      <c r="AF5" s="20"/>
      <c r="AG5" s="20">
        <v>6.8789999999999996</v>
      </c>
      <c r="AH5" s="20">
        <v>6.5590000000000002</v>
      </c>
      <c r="AI5" s="20">
        <v>6.6609999999999996</v>
      </c>
      <c r="AJ5" s="20">
        <v>6.7320000000000002</v>
      </c>
      <c r="AK5" s="20">
        <v>6.6310000000000002</v>
      </c>
      <c r="AL5" s="20">
        <f t="shared" si="18"/>
        <v>6.6923999999999992</v>
      </c>
      <c r="AM5" s="44">
        <f t="shared" si="19"/>
        <v>2.3907716215408482E-2</v>
      </c>
      <c r="AN5" t="s">
        <v>381</v>
      </c>
      <c r="AO5" t="s">
        <v>219</v>
      </c>
      <c r="AP5" t="s">
        <v>183</v>
      </c>
      <c r="AQ5">
        <v>1295</v>
      </c>
      <c r="AR5" s="43">
        <v>45726</v>
      </c>
      <c r="AS5" t="s">
        <v>322</v>
      </c>
      <c r="AT5">
        <v>37.26</v>
      </c>
      <c r="AU5">
        <v>25.55</v>
      </c>
      <c r="AV5">
        <v>26.75</v>
      </c>
      <c r="AW5" s="95"/>
      <c r="AX5">
        <v>26.42</v>
      </c>
      <c r="AY5">
        <f>AVERAGE(AT5:AX5)</f>
        <v>28.995000000000001</v>
      </c>
      <c r="AZ5" s="42">
        <f>(MAX(AT5:AX5)-MIN(AT5:AX5))/(2*AY5)</f>
        <v>0.20193136747715118</v>
      </c>
      <c r="BA5">
        <v>713.8</v>
      </c>
      <c r="BB5">
        <v>741.9</v>
      </c>
      <c r="BC5">
        <v>723.7</v>
      </c>
      <c r="BD5">
        <f t="shared" si="8"/>
        <v>726.46666666666658</v>
      </c>
      <c r="BE5" s="42">
        <f t="shared" si="9"/>
        <v>1.9340185372120785E-2</v>
      </c>
      <c r="BF5">
        <v>637.29999999999995</v>
      </c>
      <c r="BG5">
        <v>688.1</v>
      </c>
      <c r="BH5">
        <v>646.20000000000005</v>
      </c>
      <c r="BI5">
        <f t="shared" si="10"/>
        <v>657.2</v>
      </c>
      <c r="BJ5" s="42">
        <f t="shared" si="11"/>
        <v>1.9340185372120785E-2</v>
      </c>
      <c r="BK5">
        <v>551.5</v>
      </c>
      <c r="BL5">
        <v>579.1</v>
      </c>
      <c r="BM5">
        <v>561.20000000000005</v>
      </c>
      <c r="BN5">
        <f t="shared" si="12"/>
        <v>563.93333333333328</v>
      </c>
      <c r="BO5" s="42">
        <f t="shared" si="13"/>
        <v>3.8648813146682948E-2</v>
      </c>
      <c r="BP5">
        <v>806.3</v>
      </c>
      <c r="BT5" s="42" t="s">
        <v>397</v>
      </c>
      <c r="BX5" s="42"/>
    </row>
    <row r="6" spans="1:76" ht="14.4" x14ac:dyDescent="0.3">
      <c r="A6" t="s">
        <v>139</v>
      </c>
      <c r="B6" t="s">
        <v>329</v>
      </c>
      <c r="D6" s="28">
        <v>3969</v>
      </c>
      <c r="E6" s="28">
        <v>4102</v>
      </c>
      <c r="F6">
        <v>4011</v>
      </c>
      <c r="G6">
        <v>40.04</v>
      </c>
      <c r="H6" s="42">
        <v>1.7</v>
      </c>
      <c r="I6" s="19">
        <v>6.9059999999999997</v>
      </c>
      <c r="J6" s="19">
        <v>7.335</v>
      </c>
      <c r="K6">
        <v>7.1710000000000003</v>
      </c>
      <c r="L6">
        <v>9.98E-2</v>
      </c>
      <c r="M6" s="42">
        <v>3</v>
      </c>
      <c r="N6">
        <v>7.08</v>
      </c>
      <c r="O6">
        <v>7.2</v>
      </c>
      <c r="P6">
        <v>7.19</v>
      </c>
      <c r="Q6">
        <v>7.22</v>
      </c>
      <c r="R6">
        <v>7.21</v>
      </c>
      <c r="S6">
        <f t="shared" si="14"/>
        <v>7.18</v>
      </c>
      <c r="T6" s="42">
        <f t="shared" si="15"/>
        <v>9.7493036211698941E-3</v>
      </c>
      <c r="U6" t="s">
        <v>374</v>
      </c>
      <c r="V6" t="s">
        <v>131</v>
      </c>
      <c r="W6" t="s">
        <v>379</v>
      </c>
      <c r="X6" s="43">
        <v>45691</v>
      </c>
      <c r="Y6" t="s">
        <v>384</v>
      </c>
      <c r="Z6" s="20"/>
      <c r="AA6" s="20"/>
      <c r="AB6" s="20"/>
      <c r="AC6" s="20"/>
      <c r="AD6" s="20"/>
      <c r="AE6" s="20"/>
      <c r="AF6" s="20"/>
      <c r="AG6" s="20">
        <v>6.7240000000000002</v>
      </c>
      <c r="AH6" s="20">
        <v>7.6660000000000004</v>
      </c>
      <c r="AI6" s="20">
        <v>6.8949999999999996</v>
      </c>
      <c r="AJ6" s="20">
        <v>7.2759999999999998</v>
      </c>
      <c r="AK6" s="20">
        <v>7.484</v>
      </c>
      <c r="AL6" s="20">
        <f t="shared" si="18"/>
        <v>7.2090000000000005</v>
      </c>
      <c r="AM6" s="44">
        <f t="shared" si="19"/>
        <v>6.5334997919267584E-2</v>
      </c>
      <c r="AN6" t="s">
        <v>381</v>
      </c>
      <c r="AO6" t="s">
        <v>187</v>
      </c>
      <c r="AP6" t="s">
        <v>175</v>
      </c>
      <c r="AQ6">
        <v>1295</v>
      </c>
      <c r="AR6" s="43">
        <v>45720</v>
      </c>
      <c r="AS6" t="s">
        <v>322</v>
      </c>
      <c r="AT6" s="95"/>
      <c r="AU6" s="95"/>
      <c r="AV6">
        <v>524</v>
      </c>
      <c r="AW6" s="95"/>
      <c r="AX6" s="95"/>
      <c r="AY6">
        <v>524</v>
      </c>
      <c r="AZ6" s="44"/>
      <c r="BA6">
        <v>824.2</v>
      </c>
      <c r="BB6">
        <v>817.7</v>
      </c>
      <c r="BC6">
        <v>827.8</v>
      </c>
      <c r="BD6">
        <f t="shared" si="8"/>
        <v>823.23333333333323</v>
      </c>
      <c r="BE6" s="42">
        <f t="shared" si="9"/>
        <v>6.1343483014130729E-3</v>
      </c>
      <c r="BF6">
        <v>727.6</v>
      </c>
      <c r="BG6">
        <v>724.9</v>
      </c>
      <c r="BH6">
        <v>730.3</v>
      </c>
      <c r="BI6">
        <f t="shared" si="10"/>
        <v>727.6</v>
      </c>
      <c r="BJ6" s="42">
        <f t="shared" si="11"/>
        <v>6.1343483014130729E-3</v>
      </c>
      <c r="BK6">
        <v>636.5</v>
      </c>
      <c r="BL6">
        <v>635</v>
      </c>
      <c r="BM6">
        <v>639.79999999999995</v>
      </c>
      <c r="BN6">
        <f t="shared" si="12"/>
        <v>637.1</v>
      </c>
      <c r="BO6" s="42">
        <f t="shared" si="13"/>
        <v>3.7108301264430848E-3</v>
      </c>
      <c r="BP6">
        <v>837.5</v>
      </c>
      <c r="BQ6">
        <v>762.6</v>
      </c>
      <c r="BR6">
        <v>680</v>
      </c>
      <c r="BS6">
        <v>221.5</v>
      </c>
      <c r="BT6" s="42" t="s">
        <v>398</v>
      </c>
      <c r="BX6" s="42"/>
    </row>
    <row r="7" spans="1:76" ht="14.4" x14ac:dyDescent="0.3">
      <c r="A7" t="s">
        <v>140</v>
      </c>
      <c r="B7" t="s">
        <v>329</v>
      </c>
      <c r="D7" s="28">
        <v>4033</v>
      </c>
      <c r="E7" s="28">
        <v>4236</v>
      </c>
      <c r="F7">
        <v>4091</v>
      </c>
      <c r="G7">
        <v>62.74</v>
      </c>
      <c r="H7" s="42">
        <v>2.5</v>
      </c>
      <c r="I7" s="19">
        <v>6.8470000000000004</v>
      </c>
      <c r="J7" s="19">
        <v>7.4509999999999996</v>
      </c>
      <c r="K7">
        <v>7.2320000000000002</v>
      </c>
      <c r="L7">
        <v>0.1288</v>
      </c>
      <c r="M7" s="42">
        <v>4.2</v>
      </c>
      <c r="N7">
        <v>7.0209999999999999</v>
      </c>
      <c r="O7">
        <v>7.2039999999999997</v>
      </c>
      <c r="P7">
        <v>7.1769999999999996</v>
      </c>
      <c r="Q7">
        <v>7.2030000000000003</v>
      </c>
      <c r="R7">
        <v>7.234</v>
      </c>
      <c r="S7">
        <f t="shared" si="14"/>
        <v>7.1677999999999997</v>
      </c>
      <c r="T7" s="42">
        <f t="shared" si="15"/>
        <v>1.4858115460810855E-2</v>
      </c>
      <c r="U7" t="s">
        <v>374</v>
      </c>
      <c r="V7" t="s">
        <v>131</v>
      </c>
      <c r="W7" t="s">
        <v>379</v>
      </c>
      <c r="X7" s="43">
        <v>45698</v>
      </c>
      <c r="Y7" t="s">
        <v>384</v>
      </c>
      <c r="Z7">
        <v>1.5273000000000001</v>
      </c>
      <c r="AA7" s="20"/>
      <c r="AB7">
        <v>1.7364999999999999</v>
      </c>
      <c r="AC7">
        <v>1.712</v>
      </c>
      <c r="AD7" s="20"/>
      <c r="AE7">
        <f t="shared" ref="AE7:AE8" si="20">AVERAGE(Z7:AD7)</f>
        <v>1.6585999999999999</v>
      </c>
      <c r="AF7" s="42">
        <f t="shared" ref="AF7:AF8" si="21">(MAX(Z7:AD7)-MIN(Z7:AD7))/(2*AE7)</f>
        <v>6.3065235740986325E-2</v>
      </c>
      <c r="AG7">
        <v>6.1559999999999997</v>
      </c>
      <c r="AH7" s="20">
        <v>6.367</v>
      </c>
      <c r="AI7">
        <v>6.266</v>
      </c>
      <c r="AJ7">
        <v>6.2709999999999999</v>
      </c>
      <c r="AK7" s="20">
        <v>7.3840000000000003</v>
      </c>
      <c r="AL7">
        <f t="shared" si="18"/>
        <v>6.4888000000000003</v>
      </c>
      <c r="AM7" s="42">
        <f t="shared" si="19"/>
        <v>9.4624583898409609E-2</v>
      </c>
      <c r="AN7" t="s">
        <v>381</v>
      </c>
      <c r="AO7" t="s">
        <v>194</v>
      </c>
      <c r="AP7" t="s">
        <v>209</v>
      </c>
      <c r="AQ7">
        <v>1295</v>
      </c>
      <c r="AR7" s="43">
        <v>45724</v>
      </c>
      <c r="AS7" t="s">
        <v>322</v>
      </c>
      <c r="AT7">
        <v>9.23</v>
      </c>
      <c r="AU7" s="95"/>
      <c r="AV7">
        <v>160.65</v>
      </c>
      <c r="AW7">
        <v>165.82</v>
      </c>
      <c r="AX7" s="95"/>
      <c r="AY7">
        <f t="shared" ref="AY7:AY10" si="22">AVERAGE(AT7:AX7)</f>
        <v>111.89999999999999</v>
      </c>
      <c r="AZ7" s="42">
        <f t="shared" ref="AZ7:AZ10" si="23">(MAX(AT7:AX7)-MIN(AT7:AX7))/(2*AY7)</f>
        <v>0.69968722073279721</v>
      </c>
      <c r="BA7">
        <v>829.8</v>
      </c>
      <c r="BB7">
        <v>831.2</v>
      </c>
      <c r="BC7">
        <v>842.2</v>
      </c>
      <c r="BD7">
        <f t="shared" si="8"/>
        <v>834.4</v>
      </c>
      <c r="BE7" s="42">
        <f t="shared" si="9"/>
        <v>7.4304889741131901E-3</v>
      </c>
      <c r="BF7">
        <v>744</v>
      </c>
      <c r="BG7">
        <v>746.3</v>
      </c>
      <c r="BH7">
        <v>751.4</v>
      </c>
      <c r="BI7">
        <f t="shared" si="10"/>
        <v>747.23333333333323</v>
      </c>
      <c r="BJ7" s="42">
        <f t="shared" si="11"/>
        <v>7.4304889741131901E-3</v>
      </c>
      <c r="BK7">
        <v>656.4</v>
      </c>
      <c r="BL7">
        <v>656</v>
      </c>
      <c r="BM7">
        <v>659.7</v>
      </c>
      <c r="BN7">
        <f t="shared" si="12"/>
        <v>657.36666666666667</v>
      </c>
      <c r="BO7" s="42">
        <f t="shared" si="13"/>
        <v>4.9515992327251492E-3</v>
      </c>
      <c r="BT7" s="42" t="s">
        <v>397</v>
      </c>
      <c r="BX7" s="42"/>
    </row>
    <row r="8" spans="1:76" ht="14.4" x14ac:dyDescent="0.3">
      <c r="A8" t="s">
        <v>141</v>
      </c>
      <c r="B8" t="s">
        <v>329</v>
      </c>
      <c r="D8" s="28">
        <v>4034</v>
      </c>
      <c r="E8" s="28">
        <v>4212</v>
      </c>
      <c r="F8">
        <v>4081</v>
      </c>
      <c r="G8">
        <v>50.49</v>
      </c>
      <c r="H8" s="42">
        <v>2.2000000000000002</v>
      </c>
      <c r="I8">
        <v>6.8929999999999998</v>
      </c>
      <c r="J8">
        <v>7.42</v>
      </c>
      <c r="K8">
        <v>7.2220000000000004</v>
      </c>
      <c r="L8">
        <v>0.11559999999999999</v>
      </c>
      <c r="M8" s="42">
        <v>3.6</v>
      </c>
      <c r="N8">
        <v>6.9859999999999998</v>
      </c>
      <c r="O8">
        <v>7.2130000000000001</v>
      </c>
      <c r="P8">
        <v>7.1349999999999998</v>
      </c>
      <c r="Q8">
        <v>7.2080000000000002</v>
      </c>
      <c r="R8">
        <v>7.234</v>
      </c>
      <c r="S8">
        <f t="shared" si="14"/>
        <v>7.1552000000000007</v>
      </c>
      <c r="T8" s="42">
        <f t="shared" si="15"/>
        <v>1.7330053667262982E-2</v>
      </c>
      <c r="U8" t="s">
        <v>374</v>
      </c>
      <c r="V8" t="s">
        <v>131</v>
      </c>
      <c r="W8" t="s">
        <v>379</v>
      </c>
      <c r="X8" s="43">
        <v>45699</v>
      </c>
      <c r="Y8" t="s">
        <v>384</v>
      </c>
      <c r="Z8">
        <v>1.7451000000000001</v>
      </c>
      <c r="AA8">
        <v>1.8775999999999999</v>
      </c>
      <c r="AB8">
        <v>1.9381999999999999</v>
      </c>
      <c r="AC8">
        <v>1.9105000000000001</v>
      </c>
      <c r="AD8">
        <v>1.9377</v>
      </c>
      <c r="AE8">
        <f t="shared" si="20"/>
        <v>1.88182</v>
      </c>
      <c r="AF8" s="42">
        <f t="shared" si="21"/>
        <v>5.1306713713320039E-2</v>
      </c>
      <c r="AG8">
        <v>6.3049999999999997</v>
      </c>
      <c r="AH8">
        <v>6.4009999999999998</v>
      </c>
      <c r="AI8">
        <v>6.4489999999999998</v>
      </c>
      <c r="AJ8">
        <v>6.343</v>
      </c>
      <c r="AK8">
        <v>6.41</v>
      </c>
      <c r="AL8">
        <f t="shared" si="18"/>
        <v>6.3816000000000006</v>
      </c>
      <c r="AM8" s="42">
        <f t="shared" si="19"/>
        <v>1.128243700639339E-2</v>
      </c>
      <c r="AN8" t="s">
        <v>381</v>
      </c>
      <c r="AO8" t="s">
        <v>227</v>
      </c>
      <c r="AP8" t="s">
        <v>170</v>
      </c>
      <c r="AQ8">
        <v>1295</v>
      </c>
      <c r="AR8" s="43">
        <v>45729</v>
      </c>
      <c r="AS8" t="s">
        <v>322</v>
      </c>
      <c r="AT8">
        <v>0</v>
      </c>
      <c r="AU8">
        <v>15.26</v>
      </c>
      <c r="AV8">
        <v>15.21</v>
      </c>
      <c r="AW8">
        <v>16.8</v>
      </c>
      <c r="AX8">
        <v>15.46</v>
      </c>
      <c r="AY8">
        <f t="shared" si="22"/>
        <v>12.545999999999999</v>
      </c>
      <c r="AZ8" s="42">
        <f t="shared" si="23"/>
        <v>0.66953610712577716</v>
      </c>
      <c r="BA8">
        <v>730.6</v>
      </c>
      <c r="BB8">
        <v>757.2</v>
      </c>
      <c r="BC8">
        <v>760</v>
      </c>
      <c r="BD8">
        <f t="shared" si="8"/>
        <v>749.26666666666677</v>
      </c>
      <c r="BE8" s="42">
        <f t="shared" si="9"/>
        <v>1.9619183201352416E-2</v>
      </c>
      <c r="BF8">
        <v>653.1</v>
      </c>
      <c r="BG8">
        <v>682.5</v>
      </c>
      <c r="BH8">
        <v>680.5</v>
      </c>
      <c r="BI8">
        <f t="shared" si="10"/>
        <v>672.0333333333333</v>
      </c>
      <c r="BJ8" s="42">
        <f t="shared" si="11"/>
        <v>1.9619183201352416E-2</v>
      </c>
      <c r="BK8">
        <v>567.70000000000005</v>
      </c>
      <c r="BL8">
        <v>599.6</v>
      </c>
      <c r="BM8">
        <v>594.70000000000005</v>
      </c>
      <c r="BN8">
        <f t="shared" si="12"/>
        <v>587.33333333333337</v>
      </c>
      <c r="BO8" s="42">
        <f t="shared" si="13"/>
        <v>2.1873914984375759E-2</v>
      </c>
      <c r="BT8" s="42"/>
      <c r="BX8" s="42"/>
    </row>
    <row r="9" spans="1:76" ht="14.4" x14ac:dyDescent="0.3">
      <c r="A9" t="s">
        <v>142</v>
      </c>
      <c r="B9" t="s">
        <v>329</v>
      </c>
      <c r="D9" s="28">
        <v>4034</v>
      </c>
      <c r="E9" s="28">
        <v>4247</v>
      </c>
      <c r="F9">
        <v>4091</v>
      </c>
      <c r="G9">
        <v>64.959999999999994</v>
      </c>
      <c r="H9" s="42">
        <v>2.6</v>
      </c>
      <c r="I9">
        <v>7.0730000000000004</v>
      </c>
      <c r="J9">
        <v>7.4640000000000004</v>
      </c>
      <c r="K9">
        <v>7.258</v>
      </c>
      <c r="L9">
        <v>0.1023</v>
      </c>
      <c r="M9" s="42">
        <v>2.7</v>
      </c>
      <c r="N9">
        <v>7.056</v>
      </c>
      <c r="O9">
        <v>7.2229999999999999</v>
      </c>
      <c r="P9">
        <v>7.194</v>
      </c>
      <c r="Q9">
        <v>7.1859999999999999</v>
      </c>
      <c r="R9">
        <v>7.2919999999999998</v>
      </c>
      <c r="S9">
        <f t="shared" si="14"/>
        <v>7.1901999999999999</v>
      </c>
      <c r="T9" s="42">
        <f t="shared" si="15"/>
        <v>1.6411226391477272E-2</v>
      </c>
      <c r="U9" t="s">
        <v>374</v>
      </c>
      <c r="V9" t="s">
        <v>131</v>
      </c>
      <c r="W9" t="s">
        <v>379</v>
      </c>
      <c r="X9" s="43">
        <v>45699</v>
      </c>
      <c r="Y9" t="s">
        <v>384</v>
      </c>
      <c r="Z9" s="20"/>
      <c r="AA9" s="20"/>
      <c r="AB9" s="20"/>
      <c r="AC9" s="20"/>
      <c r="AD9" s="20"/>
      <c r="AE9" s="20"/>
      <c r="AF9" s="20"/>
      <c r="AG9" s="20">
        <v>7.05</v>
      </c>
      <c r="AH9" s="20">
        <v>7.2169999999999996</v>
      </c>
      <c r="AI9" s="20">
        <v>7.0579999999999998</v>
      </c>
      <c r="AJ9" s="20">
        <v>7.1029999999999998</v>
      </c>
      <c r="AK9" s="20">
        <v>7.1689999999999996</v>
      </c>
      <c r="AL9" s="20">
        <f t="shared" si="18"/>
        <v>7.1193999999999988</v>
      </c>
      <c r="AM9" s="44">
        <f t="shared" si="19"/>
        <v>1.172851644801527E-2</v>
      </c>
      <c r="AN9" t="s">
        <v>381</v>
      </c>
      <c r="AO9" t="s">
        <v>207</v>
      </c>
      <c r="AP9" t="s">
        <v>213</v>
      </c>
      <c r="AQ9">
        <v>1295</v>
      </c>
      <c r="AR9" s="43">
        <v>45722</v>
      </c>
      <c r="AS9" t="s">
        <v>322</v>
      </c>
      <c r="AT9">
        <v>321.3</v>
      </c>
      <c r="AU9" s="95"/>
      <c r="AV9">
        <v>476.24</v>
      </c>
      <c r="AW9">
        <v>485.62</v>
      </c>
      <c r="AX9" s="95"/>
      <c r="AY9">
        <f t="shared" si="22"/>
        <v>427.71999999999997</v>
      </c>
      <c r="AZ9" s="42">
        <f t="shared" si="23"/>
        <v>0.19208828205367998</v>
      </c>
      <c r="BA9">
        <v>823.5</v>
      </c>
      <c r="BB9">
        <v>816.5</v>
      </c>
      <c r="BC9">
        <v>826.4</v>
      </c>
      <c r="BD9">
        <f t="shared" si="8"/>
        <v>822.13333333333333</v>
      </c>
      <c r="BE9" s="42">
        <f t="shared" si="9"/>
        <v>6.0209211806681665E-3</v>
      </c>
      <c r="BF9">
        <v>733.6</v>
      </c>
      <c r="BG9">
        <v>732.3</v>
      </c>
      <c r="BH9">
        <v>737.7</v>
      </c>
      <c r="BI9">
        <f t="shared" si="10"/>
        <v>734.53333333333342</v>
      </c>
      <c r="BJ9" s="42">
        <f t="shared" si="11"/>
        <v>6.0209211806681665E-3</v>
      </c>
      <c r="BK9">
        <v>640.4</v>
      </c>
      <c r="BL9">
        <v>638.29999999999995</v>
      </c>
      <c r="BM9">
        <v>644.70000000000005</v>
      </c>
      <c r="BN9">
        <f t="shared" si="12"/>
        <v>641.13333333333333</v>
      </c>
      <c r="BO9" s="42">
        <f t="shared" si="13"/>
        <v>3.6758032310764818E-3</v>
      </c>
      <c r="BT9" s="42"/>
      <c r="BX9" s="42"/>
    </row>
    <row r="10" spans="1:76" ht="14.4" x14ac:dyDescent="0.3">
      <c r="A10" t="s">
        <v>143</v>
      </c>
      <c r="B10" t="s">
        <v>329</v>
      </c>
      <c r="D10" s="28">
        <v>3938</v>
      </c>
      <c r="E10" s="28">
        <v>4090</v>
      </c>
      <c r="F10">
        <v>3985</v>
      </c>
      <c r="G10">
        <v>41.17</v>
      </c>
      <c r="H10" s="42">
        <v>1.9</v>
      </c>
      <c r="I10">
        <v>6.8140000000000001</v>
      </c>
      <c r="J10">
        <v>7.3970000000000002</v>
      </c>
      <c r="K10">
        <v>7.17</v>
      </c>
      <c r="L10">
        <v>0.1542</v>
      </c>
      <c r="M10" s="42">
        <v>4.0999999999999996</v>
      </c>
      <c r="N10">
        <v>7.1239999999999997</v>
      </c>
      <c r="O10">
        <v>7.2430000000000003</v>
      </c>
      <c r="P10">
        <v>7.2389999999999999</v>
      </c>
      <c r="Q10">
        <v>7.3129999999999997</v>
      </c>
      <c r="R10">
        <v>7.2709999999999999</v>
      </c>
      <c r="S10">
        <f t="shared" si="14"/>
        <v>7.2379999999999995</v>
      </c>
      <c r="T10" s="42">
        <f t="shared" si="15"/>
        <v>1.3056092843326891E-2</v>
      </c>
      <c r="U10" t="s">
        <v>374</v>
      </c>
      <c r="V10" t="s">
        <v>131</v>
      </c>
      <c r="W10" t="s">
        <v>379</v>
      </c>
      <c r="X10" s="43">
        <v>45699</v>
      </c>
      <c r="Y10" t="s">
        <v>384</v>
      </c>
      <c r="Z10" s="20"/>
      <c r="AA10" s="20"/>
      <c r="AB10" s="20"/>
      <c r="AC10" s="20"/>
      <c r="AD10" s="20"/>
      <c r="AE10" s="20"/>
      <c r="AF10" s="20"/>
      <c r="AG10" s="20">
        <v>4.6050000000000004</v>
      </c>
      <c r="AH10" s="20">
        <v>4.4290000000000003</v>
      </c>
      <c r="AI10" s="20">
        <v>4.4889999999999999</v>
      </c>
      <c r="AJ10" s="20">
        <v>4.4029999999999996</v>
      </c>
      <c r="AK10" s="20">
        <v>4.343</v>
      </c>
      <c r="AL10" s="20">
        <f t="shared" si="18"/>
        <v>4.4537999999999993</v>
      </c>
      <c r="AM10" s="44">
        <f t="shared" si="19"/>
        <v>2.9413085455117033E-2</v>
      </c>
      <c r="AN10" t="s">
        <v>381</v>
      </c>
      <c r="AO10" t="s">
        <v>182</v>
      </c>
      <c r="AP10" t="s">
        <v>243</v>
      </c>
      <c r="AQ10">
        <v>1295</v>
      </c>
      <c r="AR10" s="43">
        <v>45732</v>
      </c>
      <c r="AS10" t="s">
        <v>322</v>
      </c>
      <c r="AT10">
        <v>0</v>
      </c>
      <c r="AU10">
        <v>110.09</v>
      </c>
      <c r="AV10">
        <v>0</v>
      </c>
      <c r="AW10">
        <v>0</v>
      </c>
      <c r="AX10">
        <v>0</v>
      </c>
      <c r="AY10">
        <f t="shared" si="22"/>
        <v>22.018000000000001</v>
      </c>
      <c r="AZ10" s="42">
        <f t="shared" si="23"/>
        <v>2.5</v>
      </c>
      <c r="BA10">
        <v>697.1</v>
      </c>
      <c r="BB10">
        <v>696.7</v>
      </c>
      <c r="BC10">
        <v>706</v>
      </c>
      <c r="BD10">
        <f t="shared" si="8"/>
        <v>699.93333333333339</v>
      </c>
      <c r="BE10" s="42">
        <f t="shared" si="9"/>
        <v>6.6434898561767456E-3</v>
      </c>
      <c r="BF10">
        <v>610.29999999999995</v>
      </c>
      <c r="BG10">
        <v>615.9</v>
      </c>
      <c r="BH10">
        <v>621.1</v>
      </c>
      <c r="BI10">
        <f t="shared" si="10"/>
        <v>615.76666666666654</v>
      </c>
      <c r="BJ10" s="42">
        <f t="shared" si="11"/>
        <v>6.6434898561767456E-3</v>
      </c>
      <c r="BK10">
        <v>515.70000000000005</v>
      </c>
      <c r="BL10">
        <v>520.79999999999995</v>
      </c>
      <c r="BM10">
        <v>529.29999999999995</v>
      </c>
      <c r="BN10">
        <f t="shared" si="12"/>
        <v>521.93333333333328</v>
      </c>
      <c r="BO10" s="42">
        <f t="shared" si="13"/>
        <v>8.769555567585182E-3</v>
      </c>
      <c r="BT10" s="42"/>
      <c r="BX10" s="42"/>
    </row>
    <row r="11" spans="1:76" ht="14.4" x14ac:dyDescent="0.3">
      <c r="A11" t="s">
        <v>144</v>
      </c>
      <c r="B11" t="s">
        <v>329</v>
      </c>
      <c r="D11" s="28">
        <v>3926</v>
      </c>
      <c r="E11" s="28">
        <v>4039</v>
      </c>
      <c r="F11">
        <v>3953</v>
      </c>
      <c r="G11">
        <v>22.61</v>
      </c>
      <c r="H11" s="42">
        <v>1.4</v>
      </c>
      <c r="I11">
        <v>7.0220000000000002</v>
      </c>
      <c r="J11">
        <v>7.2519999999999998</v>
      </c>
      <c r="K11">
        <v>7.1859999999999999</v>
      </c>
      <c r="L11">
        <v>6.4519999999999994E-2</v>
      </c>
      <c r="M11" s="42">
        <v>1.6</v>
      </c>
      <c r="N11">
        <v>7.3170000000000002</v>
      </c>
      <c r="O11">
        <v>7.2539999999999996</v>
      </c>
      <c r="P11">
        <v>7.5709999999999997</v>
      </c>
      <c r="Q11">
        <v>7.4420000000000002</v>
      </c>
      <c r="R11">
        <v>7.3220000000000001</v>
      </c>
      <c r="S11">
        <f t="shared" si="14"/>
        <v>7.3811999999999998</v>
      </c>
      <c r="T11" s="42">
        <f t="shared" si="15"/>
        <v>2.1473473147997628E-2</v>
      </c>
      <c r="U11" t="s">
        <v>374</v>
      </c>
      <c r="V11" t="s">
        <v>131</v>
      </c>
      <c r="W11" t="s">
        <v>399</v>
      </c>
      <c r="X11" s="43">
        <v>45704</v>
      </c>
      <c r="Y11" t="s">
        <v>384</v>
      </c>
      <c r="Z11">
        <v>1.5678000000000001</v>
      </c>
      <c r="AA11">
        <v>1.7646999999999999</v>
      </c>
      <c r="AB11">
        <v>1.7057</v>
      </c>
      <c r="AC11">
        <v>1.7416</v>
      </c>
      <c r="AD11" s="20"/>
      <c r="AE11">
        <f>AVERAGE(Z11:AD11)</f>
        <v>1.69495</v>
      </c>
      <c r="AF11" s="42">
        <f>(MAX(Z11:AD11)-MIN(Z11:AD11))/(2*AE11)</f>
        <v>5.808430927165989E-2</v>
      </c>
      <c r="AG11">
        <v>6.2039999999999997</v>
      </c>
      <c r="AH11">
        <v>6.2380000000000004</v>
      </c>
      <c r="AI11">
        <v>6.3490000000000002</v>
      </c>
      <c r="AJ11">
        <v>6.38</v>
      </c>
      <c r="AK11" s="20">
        <v>6.5629999999999997</v>
      </c>
      <c r="AL11">
        <f>AVERAGE(AG11:AK11)</f>
        <v>6.3468</v>
      </c>
      <c r="AM11" s="42">
        <f t="shared" si="19"/>
        <v>2.828196886620029E-2</v>
      </c>
      <c r="AN11" t="s">
        <v>381</v>
      </c>
      <c r="AO11" t="s">
        <v>238</v>
      </c>
      <c r="AP11" t="s">
        <v>239</v>
      </c>
      <c r="AQ11">
        <v>1295</v>
      </c>
      <c r="AR11" s="43">
        <v>45732</v>
      </c>
      <c r="AS11" t="s">
        <v>322</v>
      </c>
      <c r="AT11">
        <v>0</v>
      </c>
      <c r="AU11">
        <v>0</v>
      </c>
      <c r="AV11">
        <v>0</v>
      </c>
      <c r="AW11">
        <v>0</v>
      </c>
      <c r="AX11">
        <v>27.7</v>
      </c>
      <c r="AY11">
        <f t="shared" ref="AY11:AY12" si="24">AVERAGE(AT11:AX11)</f>
        <v>5.54</v>
      </c>
      <c r="AZ11" s="42">
        <f t="shared" ref="AZ11:AZ12" si="25">(MAX(AT11:AX11)-MIN(AT11:AX11))/(2*AY11)</f>
        <v>2.5</v>
      </c>
      <c r="BA11">
        <v>679.5</v>
      </c>
      <c r="BB11">
        <v>704.6</v>
      </c>
      <c r="BC11">
        <v>704.9</v>
      </c>
      <c r="BD11">
        <f t="shared" si="8"/>
        <v>696.33333333333337</v>
      </c>
      <c r="BE11" s="42">
        <f t="shared" si="9"/>
        <v>1.8238391574916211E-2</v>
      </c>
      <c r="BF11">
        <v>603</v>
      </c>
      <c r="BG11">
        <v>633.29999999999995</v>
      </c>
      <c r="BH11">
        <v>626.1</v>
      </c>
      <c r="BI11">
        <f t="shared" si="10"/>
        <v>620.80000000000007</v>
      </c>
      <c r="BJ11" s="42">
        <f t="shared" si="11"/>
        <v>1.8238391574916211E-2</v>
      </c>
      <c r="BK11">
        <v>518.70000000000005</v>
      </c>
      <c r="BL11">
        <v>551.20000000000005</v>
      </c>
      <c r="BM11">
        <v>540.79999999999995</v>
      </c>
      <c r="BN11">
        <f t="shared" si="12"/>
        <v>536.9</v>
      </c>
      <c r="BO11" s="42">
        <f t="shared" si="13"/>
        <v>2.4403994845360787E-2</v>
      </c>
      <c r="BT11" s="42"/>
      <c r="BX11" s="42"/>
    </row>
    <row r="12" spans="1:76" ht="14.4" x14ac:dyDescent="0.3">
      <c r="A12" t="s">
        <v>145</v>
      </c>
      <c r="B12" t="s">
        <v>329</v>
      </c>
      <c r="D12" s="28">
        <v>4025</v>
      </c>
      <c r="E12" s="28">
        <v>4126</v>
      </c>
      <c r="F12">
        <v>4049</v>
      </c>
      <c r="G12">
        <v>19.75</v>
      </c>
      <c r="H12" s="42">
        <v>1.2</v>
      </c>
      <c r="I12">
        <v>7.0670000000000002</v>
      </c>
      <c r="J12">
        <v>7.5970000000000004</v>
      </c>
      <c r="K12">
        <v>7.2549999999999999</v>
      </c>
      <c r="L12">
        <v>0.1258</v>
      </c>
      <c r="M12" s="42">
        <v>3.6</v>
      </c>
      <c r="N12">
        <v>7.3310000000000004</v>
      </c>
      <c r="O12">
        <v>7.5529999999999999</v>
      </c>
      <c r="P12">
        <v>7.5960000000000001</v>
      </c>
      <c r="Q12">
        <v>7.3460000000000001</v>
      </c>
      <c r="R12">
        <v>7.3570000000000002</v>
      </c>
      <c r="S12">
        <f t="shared" si="14"/>
        <v>7.4366000000000003</v>
      </c>
      <c r="T12" s="42">
        <f t="shared" si="15"/>
        <v>1.7817282091278249E-2</v>
      </c>
      <c r="U12" t="s">
        <v>374</v>
      </c>
      <c r="V12" t="s">
        <v>131</v>
      </c>
      <c r="W12" t="s">
        <v>399</v>
      </c>
      <c r="X12" s="43">
        <v>45704</v>
      </c>
      <c r="Y12" t="s">
        <v>384</v>
      </c>
      <c r="Z12" s="20"/>
      <c r="AA12" s="20"/>
      <c r="AB12" s="20"/>
      <c r="AC12" s="20"/>
      <c r="AD12" s="20"/>
      <c r="AE12" s="20"/>
      <c r="AF12" s="20"/>
      <c r="AG12" s="20">
        <v>6.9509999999999996</v>
      </c>
      <c r="AH12" s="20">
        <v>7.4539999999999997</v>
      </c>
      <c r="AI12" s="20">
        <v>7.15</v>
      </c>
      <c r="AJ12" s="20">
        <v>7.2</v>
      </c>
      <c r="AK12" s="20">
        <v>7.1269999999999998</v>
      </c>
      <c r="AL12" s="20">
        <f t="shared" si="18"/>
        <v>7.1763999999999992</v>
      </c>
      <c r="AM12" s="44">
        <f t="shared" si="19"/>
        <v>3.5045426676327977E-2</v>
      </c>
      <c r="AN12" t="s">
        <v>381</v>
      </c>
      <c r="AO12" t="s">
        <v>232</v>
      </c>
      <c r="AP12" t="s">
        <v>172</v>
      </c>
      <c r="AQ12">
        <v>1295</v>
      </c>
      <c r="AR12" s="43">
        <v>45730</v>
      </c>
      <c r="AS12" t="s">
        <v>322</v>
      </c>
      <c r="AT12">
        <v>132.88999999999999</v>
      </c>
      <c r="AU12" s="95"/>
      <c r="AV12">
        <v>50.44</v>
      </c>
      <c r="AW12" s="95"/>
      <c r="AX12" s="95"/>
      <c r="AY12">
        <f t="shared" si="24"/>
        <v>91.664999999999992</v>
      </c>
      <c r="AZ12" s="42">
        <f t="shared" si="25"/>
        <v>0.44973544973544971</v>
      </c>
      <c r="BA12">
        <v>738.4</v>
      </c>
      <c r="BB12">
        <v>625.29999999999995</v>
      </c>
      <c r="BC12">
        <v>737.6</v>
      </c>
      <c r="BD12">
        <f t="shared" si="8"/>
        <v>700.43333333333328</v>
      </c>
      <c r="BE12" s="42">
        <f t="shared" si="9"/>
        <v>8.0735735021177382E-2</v>
      </c>
      <c r="BF12">
        <v>662.4</v>
      </c>
      <c r="BG12">
        <v>561.70000000000005</v>
      </c>
      <c r="BH12">
        <v>661.5</v>
      </c>
      <c r="BI12">
        <f t="shared" si="10"/>
        <v>628.5333333333333</v>
      </c>
      <c r="BJ12" s="42">
        <f t="shared" si="11"/>
        <v>8.0735735021177382E-2</v>
      </c>
      <c r="BK12">
        <v>578.6</v>
      </c>
      <c r="BL12">
        <v>484.3</v>
      </c>
      <c r="BM12">
        <v>579.1</v>
      </c>
      <c r="BN12">
        <f t="shared" si="12"/>
        <v>547.33333333333337</v>
      </c>
      <c r="BO12" s="42">
        <f t="shared" si="13"/>
        <v>8.0107127704709333E-2</v>
      </c>
      <c r="BT12" s="42"/>
      <c r="BX12" s="42"/>
    </row>
    <row r="16" spans="1:76" ht="15" customHeight="1" x14ac:dyDescent="0.3">
      <c r="Y16">
        <f>(S8-AE8)/(F8/1000)*6.5</f>
        <v>8.399159519725556</v>
      </c>
    </row>
  </sheetData>
  <mergeCells count="2">
    <mergeCell ref="Y1:AF1"/>
    <mergeCell ref="AS1:AZ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F5165A5-848C-4703-9867-23CB9F77E882}">
          <x14:formula1>
            <xm:f>'Process flow'!$A$3:$A$24</xm:f>
          </x14:formula1>
          <xm:sqref>B3:C12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B4E3-770F-433C-9248-82A942585E06}">
  <dimension ref="A1:N31"/>
  <sheetViews>
    <sheetView zoomScale="81" workbookViewId="0">
      <selection activeCell="D42" sqref="D42"/>
    </sheetView>
  </sheetViews>
  <sheetFormatPr defaultRowHeight="14.4" x14ac:dyDescent="0.3"/>
  <cols>
    <col min="1" max="1" width="23.5546875" customWidth="1"/>
  </cols>
  <sheetData>
    <row r="1" spans="1:4" x14ac:dyDescent="0.3">
      <c r="A1" t="s">
        <v>400</v>
      </c>
    </row>
    <row r="2" spans="1:4" x14ac:dyDescent="0.3">
      <c r="B2" t="s">
        <v>401</v>
      </c>
      <c r="C2" t="s">
        <v>402</v>
      </c>
      <c r="D2" t="s">
        <v>403</v>
      </c>
    </row>
    <row r="3" spans="1:4" x14ac:dyDescent="0.3">
      <c r="A3" t="s">
        <v>404</v>
      </c>
      <c r="B3">
        <v>1.2</v>
      </c>
      <c r="C3" t="s">
        <v>405</v>
      </c>
      <c r="D3">
        <v>1.4</v>
      </c>
    </row>
    <row r="4" spans="1:4" x14ac:dyDescent="0.3">
      <c r="A4" t="s">
        <v>406</v>
      </c>
      <c r="B4">
        <v>1.2</v>
      </c>
      <c r="C4" t="s">
        <v>407</v>
      </c>
      <c r="D4">
        <v>1.5</v>
      </c>
    </row>
    <row r="6" spans="1:4" x14ac:dyDescent="0.3">
      <c r="A6" t="s">
        <v>408</v>
      </c>
      <c r="B6" t="s">
        <v>409</v>
      </c>
      <c r="C6" t="s">
        <v>410</v>
      </c>
      <c r="D6" t="s">
        <v>411</v>
      </c>
    </row>
    <row r="7" spans="1:4" x14ac:dyDescent="0.3">
      <c r="A7" t="s">
        <v>412</v>
      </c>
      <c r="B7">
        <v>24</v>
      </c>
      <c r="C7">
        <v>24</v>
      </c>
      <c r="D7">
        <v>20</v>
      </c>
    </row>
    <row r="9" spans="1:4" x14ac:dyDescent="0.3">
      <c r="A9" t="s">
        <v>413</v>
      </c>
      <c r="B9">
        <v>20</v>
      </c>
      <c r="C9">
        <v>25</v>
      </c>
      <c r="D9">
        <v>20</v>
      </c>
    </row>
    <row r="10" spans="1:4" x14ac:dyDescent="0.3">
      <c r="A10" t="s">
        <v>414</v>
      </c>
      <c r="B10">
        <v>20</v>
      </c>
      <c r="C10">
        <v>25</v>
      </c>
      <c r="D10">
        <v>20</v>
      </c>
    </row>
    <row r="11" spans="1:4" x14ac:dyDescent="0.3">
      <c r="A11" t="s">
        <v>415</v>
      </c>
      <c r="B11">
        <v>25</v>
      </c>
      <c r="C11">
        <v>20</v>
      </c>
      <c r="D11">
        <v>20</v>
      </c>
    </row>
    <row r="12" spans="1:4" x14ac:dyDescent="0.3">
      <c r="A12" t="s">
        <v>416</v>
      </c>
      <c r="B12">
        <v>30</v>
      </c>
      <c r="C12">
        <v>25</v>
      </c>
      <c r="D12">
        <v>30</v>
      </c>
    </row>
    <row r="13" spans="1:4" x14ac:dyDescent="0.3">
      <c r="A13" t="s">
        <v>417</v>
      </c>
      <c r="B13">
        <v>30</v>
      </c>
      <c r="C13">
        <v>25</v>
      </c>
      <c r="D13">
        <v>30</v>
      </c>
    </row>
    <row r="14" spans="1:4" x14ac:dyDescent="0.3">
      <c r="A14" t="s">
        <v>418</v>
      </c>
      <c r="B14">
        <v>25</v>
      </c>
      <c r="C14">
        <v>30</v>
      </c>
      <c r="D14">
        <v>30</v>
      </c>
    </row>
    <row r="31" spans="14:14" x14ac:dyDescent="0.3">
      <c r="N31" t="s">
        <v>42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C65DD-7D12-4B8B-902D-1434D06B9B3D}">
  <dimension ref="A1:L40"/>
  <sheetViews>
    <sheetView zoomScale="94" zoomScaleNormal="136" workbookViewId="0">
      <pane xSplit="2" ySplit="2" topLeftCell="C3" activePane="bottomRight" state="frozen"/>
      <selection pane="topRight" activeCell="C1" sqref="C1"/>
      <selection pane="bottomLeft" activeCell="A3" sqref="A3"/>
      <selection pane="bottomRight" activeCell="L93" sqref="L93"/>
    </sheetView>
  </sheetViews>
  <sheetFormatPr defaultRowHeight="14.4" x14ac:dyDescent="0.3"/>
  <cols>
    <col min="1" max="1" width="31.44140625" customWidth="1"/>
    <col min="3" max="3" width="16" customWidth="1"/>
    <col min="4" max="4" width="13.33203125" customWidth="1"/>
    <col min="5" max="5" width="14.5546875" customWidth="1"/>
    <col min="6" max="6" width="15.44140625" customWidth="1"/>
    <col min="7" max="7" width="14.109375" customWidth="1"/>
    <col min="8" max="10" width="13.88671875" customWidth="1"/>
    <col min="11" max="11" width="13.6640625" customWidth="1"/>
    <col min="12" max="12" width="14.33203125" customWidth="1"/>
  </cols>
  <sheetData>
    <row r="1" spans="1:12" x14ac:dyDescent="0.3">
      <c r="A1" t="s">
        <v>419</v>
      </c>
      <c r="C1" s="1" t="s">
        <v>420</v>
      </c>
    </row>
    <row r="2" spans="1:12" x14ac:dyDescent="0.3">
      <c r="A2" s="68"/>
      <c r="B2" s="68" t="s">
        <v>421</v>
      </c>
      <c r="C2" s="68">
        <v>1</v>
      </c>
      <c r="D2" s="68">
        <v>2</v>
      </c>
      <c r="E2" s="68">
        <v>3</v>
      </c>
      <c r="F2" s="85">
        <v>4</v>
      </c>
      <c r="G2" s="86">
        <v>5</v>
      </c>
      <c r="H2" s="86">
        <v>6</v>
      </c>
      <c r="I2" s="86">
        <v>7</v>
      </c>
      <c r="J2" s="86">
        <v>8</v>
      </c>
      <c r="K2" s="86">
        <v>9</v>
      </c>
      <c r="L2" s="86">
        <v>10</v>
      </c>
    </row>
    <row r="3" spans="1:12" x14ac:dyDescent="0.3">
      <c r="A3" s="68" t="s">
        <v>422</v>
      </c>
      <c r="B3" s="68"/>
      <c r="C3" s="68" t="s">
        <v>423</v>
      </c>
      <c r="D3" s="68" t="s">
        <v>424</v>
      </c>
      <c r="E3" s="68" t="s">
        <v>425</v>
      </c>
      <c r="F3" s="85" t="s">
        <v>426</v>
      </c>
      <c r="G3" s="86" t="s">
        <v>427</v>
      </c>
      <c r="H3" s="86" t="s">
        <v>428</v>
      </c>
      <c r="I3" s="86" t="s">
        <v>429</v>
      </c>
      <c r="J3" s="86" t="s">
        <v>430</v>
      </c>
      <c r="K3" s="86" t="s">
        <v>431</v>
      </c>
      <c r="L3" s="86" t="s">
        <v>432</v>
      </c>
    </row>
    <row r="4" spans="1:12" x14ac:dyDescent="0.3">
      <c r="A4" s="68" t="s">
        <v>433</v>
      </c>
      <c r="B4" s="68" t="s">
        <v>434</v>
      </c>
      <c r="C4" s="87">
        <v>1</v>
      </c>
      <c r="D4" s="87">
        <v>1.2</v>
      </c>
      <c r="E4" s="87">
        <v>1.2</v>
      </c>
      <c r="F4" s="88" t="s">
        <v>435</v>
      </c>
      <c r="G4" s="86" t="s">
        <v>436</v>
      </c>
      <c r="H4" s="86" t="s">
        <v>437</v>
      </c>
      <c r="I4" s="86" t="s">
        <v>435</v>
      </c>
      <c r="J4" s="86" t="s">
        <v>438</v>
      </c>
      <c r="K4" s="86" t="s">
        <v>439</v>
      </c>
      <c r="L4" s="86" t="s">
        <v>435</v>
      </c>
    </row>
    <row r="5" spans="1:12" ht="28.8" x14ac:dyDescent="0.3">
      <c r="A5" s="68" t="s">
        <v>440</v>
      </c>
      <c r="B5" s="68" t="s">
        <v>441</v>
      </c>
      <c r="C5" s="68" t="s">
        <v>442</v>
      </c>
      <c r="D5" s="68" t="s">
        <v>443</v>
      </c>
      <c r="E5" s="89" t="s">
        <v>444</v>
      </c>
      <c r="F5" s="90" t="s">
        <v>444</v>
      </c>
      <c r="G5" s="91" t="s">
        <v>445</v>
      </c>
      <c r="H5" s="91" t="s">
        <v>446</v>
      </c>
      <c r="I5" s="91" t="s">
        <v>444</v>
      </c>
      <c r="J5" s="91" t="s">
        <v>447</v>
      </c>
      <c r="K5" s="91" t="s">
        <v>444</v>
      </c>
      <c r="L5" s="91" t="s">
        <v>448</v>
      </c>
    </row>
    <row r="6" spans="1:12" x14ac:dyDescent="0.3">
      <c r="A6" s="68" t="s">
        <v>449</v>
      </c>
      <c r="B6" s="92" t="s">
        <v>450</v>
      </c>
      <c r="C6" s="92">
        <v>100</v>
      </c>
      <c r="D6" s="92">
        <v>100</v>
      </c>
      <c r="E6" s="92">
        <v>100</v>
      </c>
      <c r="F6" s="93">
        <v>100</v>
      </c>
      <c r="G6" s="93">
        <v>100</v>
      </c>
      <c r="H6" s="93">
        <v>100</v>
      </c>
      <c r="I6" s="93">
        <v>100</v>
      </c>
      <c r="J6" s="93">
        <v>100</v>
      </c>
      <c r="K6" s="93">
        <v>100</v>
      </c>
      <c r="L6" s="93">
        <v>100</v>
      </c>
    </row>
    <row r="7" spans="1:12" x14ac:dyDescent="0.3">
      <c r="A7" s="68" t="s">
        <v>451</v>
      </c>
      <c r="B7" s="68"/>
      <c r="C7" s="68" t="s">
        <v>452</v>
      </c>
      <c r="D7" s="68" t="s">
        <v>452</v>
      </c>
      <c r="E7" s="68" t="s">
        <v>452</v>
      </c>
      <c r="F7" s="85" t="s">
        <v>452</v>
      </c>
      <c r="G7" s="86" t="s">
        <v>452</v>
      </c>
      <c r="H7" s="86" t="s">
        <v>452</v>
      </c>
      <c r="I7" s="86" t="s">
        <v>452</v>
      </c>
      <c r="J7" s="86" t="s">
        <v>452</v>
      </c>
      <c r="K7" s="86" t="s">
        <v>452</v>
      </c>
      <c r="L7" s="86" t="s">
        <v>452</v>
      </c>
    </row>
    <row r="8" spans="1:12" ht="28.8" x14ac:dyDescent="0.3">
      <c r="A8" s="68" t="s">
        <v>453</v>
      </c>
      <c r="B8" s="68" t="s">
        <v>454</v>
      </c>
      <c r="C8" s="68" t="s">
        <v>455</v>
      </c>
      <c r="D8" s="68" t="s">
        <v>456</v>
      </c>
      <c r="E8" s="68" t="s">
        <v>456</v>
      </c>
      <c r="F8" s="85" t="s">
        <v>456</v>
      </c>
      <c r="G8" s="91" t="s">
        <v>457</v>
      </c>
      <c r="H8" s="91" t="s">
        <v>457</v>
      </c>
      <c r="I8" s="91" t="s">
        <v>457</v>
      </c>
      <c r="J8" s="91" t="s">
        <v>457</v>
      </c>
      <c r="K8" s="91" t="s">
        <v>457</v>
      </c>
      <c r="L8" s="91" t="s">
        <v>457</v>
      </c>
    </row>
    <row r="9" spans="1:12" x14ac:dyDescent="0.3">
      <c r="A9" s="68" t="s">
        <v>458</v>
      </c>
      <c r="B9" s="68"/>
      <c r="C9" s="68">
        <v>4</v>
      </c>
      <c r="D9" s="68">
        <v>4</v>
      </c>
      <c r="E9" s="68">
        <v>4</v>
      </c>
      <c r="F9" s="85">
        <v>4</v>
      </c>
      <c r="G9" s="86">
        <v>4</v>
      </c>
      <c r="H9" s="86">
        <v>4</v>
      </c>
      <c r="I9" s="86">
        <v>4</v>
      </c>
      <c r="J9" s="86">
        <v>4</v>
      </c>
      <c r="K9" s="86">
        <v>4</v>
      </c>
      <c r="L9" s="86">
        <v>4</v>
      </c>
    </row>
    <row r="10" spans="1:12" x14ac:dyDescent="0.3">
      <c r="A10" s="68" t="s">
        <v>459</v>
      </c>
      <c r="B10" s="68"/>
      <c r="C10" s="68">
        <v>2</v>
      </c>
      <c r="D10" s="68">
        <v>2</v>
      </c>
      <c r="E10" s="68">
        <v>2</v>
      </c>
      <c r="F10" s="85">
        <v>2</v>
      </c>
      <c r="G10" s="86">
        <v>2</v>
      </c>
      <c r="H10" s="86">
        <v>2</v>
      </c>
      <c r="I10" s="86">
        <v>2</v>
      </c>
      <c r="J10" s="86">
        <v>2</v>
      </c>
      <c r="K10" s="86">
        <v>2</v>
      </c>
      <c r="L10" s="86">
        <v>2</v>
      </c>
    </row>
    <row r="11" spans="1:12" x14ac:dyDescent="0.3">
      <c r="A11" s="68" t="s">
        <v>460</v>
      </c>
      <c r="B11" s="68"/>
      <c r="C11" s="68" t="s">
        <v>461</v>
      </c>
      <c r="D11" s="68" t="s">
        <v>461</v>
      </c>
      <c r="E11" s="68" t="s">
        <v>461</v>
      </c>
      <c r="F11" s="85" t="s">
        <v>461</v>
      </c>
      <c r="G11" s="86" t="s">
        <v>461</v>
      </c>
      <c r="H11" s="86" t="s">
        <v>461</v>
      </c>
      <c r="I11" s="86" t="s">
        <v>461</v>
      </c>
      <c r="J11" s="86" t="s">
        <v>461</v>
      </c>
      <c r="K11" s="86" t="s">
        <v>461</v>
      </c>
      <c r="L11" s="86" t="s">
        <v>461</v>
      </c>
    </row>
    <row r="12" spans="1:12" ht="28.8" x14ac:dyDescent="0.3">
      <c r="A12" s="68" t="s">
        <v>462</v>
      </c>
      <c r="B12" s="68" t="s">
        <v>454</v>
      </c>
      <c r="C12" s="68" t="s">
        <v>463</v>
      </c>
      <c r="D12" s="68" t="s">
        <v>464</v>
      </c>
      <c r="E12" s="68" t="s">
        <v>464</v>
      </c>
      <c r="F12" s="85" t="s">
        <v>464</v>
      </c>
      <c r="G12" s="91" t="s">
        <v>465</v>
      </c>
      <c r="H12" s="91" t="s">
        <v>465</v>
      </c>
      <c r="I12" s="91" t="s">
        <v>465</v>
      </c>
      <c r="J12" s="91" t="s">
        <v>465</v>
      </c>
      <c r="K12" s="91" t="s">
        <v>465</v>
      </c>
      <c r="L12" s="91" t="s">
        <v>465</v>
      </c>
    </row>
    <row r="13" spans="1:12" x14ac:dyDescent="0.3">
      <c r="A13" s="68" t="s">
        <v>466</v>
      </c>
      <c r="B13" s="68"/>
      <c r="C13" s="68">
        <v>1</v>
      </c>
      <c r="D13" s="68">
        <v>2</v>
      </c>
      <c r="E13" s="68">
        <v>2</v>
      </c>
      <c r="F13" s="85">
        <v>2</v>
      </c>
      <c r="G13" s="86">
        <v>2</v>
      </c>
      <c r="H13" s="86">
        <v>2</v>
      </c>
      <c r="I13" s="86">
        <v>2</v>
      </c>
      <c r="J13" s="86">
        <v>2</v>
      </c>
      <c r="K13" s="86">
        <v>2</v>
      </c>
      <c r="L13" s="86">
        <v>2</v>
      </c>
    </row>
    <row r="14" spans="1:12" x14ac:dyDescent="0.3">
      <c r="A14" s="68" t="s">
        <v>467</v>
      </c>
      <c r="B14" s="68"/>
      <c r="C14" s="68">
        <v>2</v>
      </c>
      <c r="D14" s="68">
        <v>2</v>
      </c>
      <c r="E14" s="68">
        <v>2</v>
      </c>
      <c r="F14" s="85">
        <v>2</v>
      </c>
      <c r="G14" s="86">
        <v>2</v>
      </c>
      <c r="H14" s="86">
        <v>2</v>
      </c>
      <c r="I14" s="86">
        <v>2</v>
      </c>
      <c r="J14" s="86">
        <v>2</v>
      </c>
      <c r="K14" s="86">
        <v>2</v>
      </c>
      <c r="L14" s="86">
        <v>2</v>
      </c>
    </row>
    <row r="15" spans="1:12" x14ac:dyDescent="0.3">
      <c r="A15" s="68" t="s">
        <v>468</v>
      </c>
      <c r="B15" s="68"/>
      <c r="C15" s="68" t="s">
        <v>461</v>
      </c>
      <c r="D15" s="68" t="s">
        <v>461</v>
      </c>
      <c r="E15" s="68" t="s">
        <v>461</v>
      </c>
      <c r="F15" s="85" t="s">
        <v>461</v>
      </c>
      <c r="G15" s="86" t="s">
        <v>461</v>
      </c>
      <c r="H15" s="86" t="s">
        <v>461</v>
      </c>
      <c r="I15" s="86" t="s">
        <v>461</v>
      </c>
      <c r="J15" s="86" t="s">
        <v>461</v>
      </c>
      <c r="K15" s="86" t="s">
        <v>461</v>
      </c>
      <c r="L15" s="86" t="s">
        <v>461</v>
      </c>
    </row>
    <row r="16" spans="1:12" ht="28.8" x14ac:dyDescent="0.3">
      <c r="A16" s="68" t="s">
        <v>469</v>
      </c>
      <c r="B16" s="68" t="s">
        <v>454</v>
      </c>
      <c r="C16" s="68" t="s">
        <v>470</v>
      </c>
      <c r="D16" s="68" t="s">
        <v>470</v>
      </c>
      <c r="E16" s="89" t="s">
        <v>471</v>
      </c>
      <c r="F16" s="85" t="s">
        <v>472</v>
      </c>
      <c r="G16" s="86" t="s">
        <v>473</v>
      </c>
      <c r="H16" s="91" t="s">
        <v>474</v>
      </c>
      <c r="I16" s="91" t="s">
        <v>475</v>
      </c>
      <c r="J16" s="86" t="s">
        <v>473</v>
      </c>
      <c r="K16" s="91" t="s">
        <v>476</v>
      </c>
      <c r="L16" s="91" t="s">
        <v>477</v>
      </c>
    </row>
    <row r="17" spans="1:12" x14ac:dyDescent="0.3">
      <c r="A17" s="68" t="s">
        <v>478</v>
      </c>
      <c r="B17" s="68"/>
      <c r="C17" s="68" t="s">
        <v>479</v>
      </c>
      <c r="D17" s="68" t="s">
        <v>452</v>
      </c>
      <c r="E17" s="68" t="s">
        <v>452</v>
      </c>
      <c r="F17" s="85" t="s">
        <v>452</v>
      </c>
      <c r="G17" s="86" t="s">
        <v>452</v>
      </c>
      <c r="H17" s="86" t="s">
        <v>452</v>
      </c>
      <c r="I17" s="86" t="s">
        <v>452</v>
      </c>
      <c r="J17" s="86" t="s">
        <v>452</v>
      </c>
      <c r="K17" s="86" t="s">
        <v>452</v>
      </c>
      <c r="L17" s="86" t="s">
        <v>452</v>
      </c>
    </row>
    <row r="18" spans="1:12" x14ac:dyDescent="0.3">
      <c r="A18" s="68" t="s">
        <v>480</v>
      </c>
      <c r="B18" s="68"/>
      <c r="C18" s="68" t="s">
        <v>481</v>
      </c>
      <c r="D18" s="92" t="s">
        <v>482</v>
      </c>
      <c r="E18" s="92" t="s">
        <v>482</v>
      </c>
      <c r="F18" s="93" t="s">
        <v>483</v>
      </c>
      <c r="G18" s="93" t="s">
        <v>483</v>
      </c>
      <c r="H18" s="93" t="s">
        <v>483</v>
      </c>
      <c r="I18" s="93" t="s">
        <v>482</v>
      </c>
      <c r="J18" s="93" t="s">
        <v>482</v>
      </c>
      <c r="K18" s="93" t="s">
        <v>484</v>
      </c>
      <c r="L18" s="93" t="s">
        <v>484</v>
      </c>
    </row>
    <row r="19" spans="1:12" x14ac:dyDescent="0.3">
      <c r="A19" s="68" t="s">
        <v>485</v>
      </c>
      <c r="B19" s="68"/>
      <c r="C19" s="68" t="s">
        <v>486</v>
      </c>
      <c r="D19" s="92" t="s">
        <v>487</v>
      </c>
      <c r="E19" s="92" t="s">
        <v>487</v>
      </c>
      <c r="F19" s="93" t="s">
        <v>483</v>
      </c>
      <c r="G19" s="93" t="s">
        <v>483</v>
      </c>
      <c r="H19" s="93" t="s">
        <v>483</v>
      </c>
      <c r="I19" s="93" t="s">
        <v>487</v>
      </c>
      <c r="J19" s="93" t="s">
        <v>487</v>
      </c>
      <c r="K19" s="93" t="s">
        <v>487</v>
      </c>
      <c r="L19" s="93" t="s">
        <v>487</v>
      </c>
    </row>
    <row r="20" spans="1:12" x14ac:dyDescent="0.3">
      <c r="A20" s="68" t="s">
        <v>488</v>
      </c>
      <c r="B20" s="68"/>
      <c r="C20" s="68">
        <v>1</v>
      </c>
      <c r="D20" s="68">
        <v>1</v>
      </c>
      <c r="E20" s="68">
        <v>1</v>
      </c>
      <c r="F20" s="85">
        <v>1</v>
      </c>
      <c r="G20" s="86">
        <v>1</v>
      </c>
      <c r="H20" s="86">
        <v>1</v>
      </c>
      <c r="I20" s="86">
        <v>1</v>
      </c>
      <c r="J20" s="86">
        <v>1</v>
      </c>
      <c r="K20" s="86">
        <v>1</v>
      </c>
      <c r="L20" s="86">
        <v>1</v>
      </c>
    </row>
    <row r="21" spans="1:12" x14ac:dyDescent="0.3">
      <c r="A21" s="68" t="s">
        <v>489</v>
      </c>
      <c r="B21" s="68"/>
      <c r="C21" s="68" t="s">
        <v>461</v>
      </c>
      <c r="D21" s="68" t="s">
        <v>461</v>
      </c>
      <c r="E21" s="68" t="s">
        <v>461</v>
      </c>
      <c r="F21" s="85" t="s">
        <v>461</v>
      </c>
      <c r="G21" s="86" t="s">
        <v>461</v>
      </c>
      <c r="H21" s="86" t="s">
        <v>461</v>
      </c>
      <c r="I21" s="86" t="s">
        <v>461</v>
      </c>
      <c r="J21" s="86" t="s">
        <v>461</v>
      </c>
      <c r="K21" s="86" t="s">
        <v>461</v>
      </c>
      <c r="L21" s="86" t="s">
        <v>461</v>
      </c>
    </row>
    <row r="22" spans="1:12" x14ac:dyDescent="0.3">
      <c r="A22" s="68" t="s">
        <v>490</v>
      </c>
      <c r="B22" s="68"/>
      <c r="C22" s="68" t="s">
        <v>491</v>
      </c>
      <c r="D22" s="68" t="s">
        <v>491</v>
      </c>
      <c r="E22" s="68" t="s">
        <v>491</v>
      </c>
      <c r="F22" s="85" t="s">
        <v>491</v>
      </c>
      <c r="G22" s="86" t="s">
        <v>491</v>
      </c>
      <c r="H22" s="86" t="s">
        <v>491</v>
      </c>
      <c r="I22" s="86" t="s">
        <v>491</v>
      </c>
      <c r="J22" s="86" t="s">
        <v>491</v>
      </c>
      <c r="K22" s="86" t="s">
        <v>491</v>
      </c>
      <c r="L22" s="86" t="s">
        <v>491</v>
      </c>
    </row>
    <row r="23" spans="1:12" x14ac:dyDescent="0.3">
      <c r="A23" s="68" t="s">
        <v>492</v>
      </c>
      <c r="B23" s="68" t="s">
        <v>493</v>
      </c>
      <c r="C23" s="68">
        <v>150</v>
      </c>
      <c r="D23" s="68">
        <v>150</v>
      </c>
      <c r="E23" s="68">
        <v>150</v>
      </c>
      <c r="F23" s="85">
        <v>150</v>
      </c>
      <c r="G23" s="86">
        <v>150</v>
      </c>
      <c r="H23" s="86">
        <v>150</v>
      </c>
      <c r="I23" s="86">
        <v>150</v>
      </c>
      <c r="J23" s="86">
        <v>150</v>
      </c>
      <c r="K23" s="86">
        <v>150</v>
      </c>
      <c r="L23" s="86">
        <v>150</v>
      </c>
    </row>
    <row r="24" spans="1:12" x14ac:dyDescent="0.3">
      <c r="A24" s="68" t="s">
        <v>494</v>
      </c>
      <c r="B24" s="68" t="s">
        <v>450</v>
      </c>
      <c r="C24" s="68">
        <v>20</v>
      </c>
      <c r="D24" s="68">
        <v>20</v>
      </c>
      <c r="E24" s="68">
        <v>20</v>
      </c>
      <c r="F24" s="85">
        <v>20</v>
      </c>
      <c r="G24" s="86">
        <v>20</v>
      </c>
      <c r="H24" s="86">
        <v>20</v>
      </c>
      <c r="I24" s="86">
        <v>20</v>
      </c>
      <c r="J24" s="86">
        <v>20</v>
      </c>
      <c r="K24" s="86">
        <v>20</v>
      </c>
      <c r="L24" s="86">
        <v>20</v>
      </c>
    </row>
    <row r="25" spans="1:12" ht="28.8" x14ac:dyDescent="0.3">
      <c r="A25" s="68" t="s">
        <v>495</v>
      </c>
      <c r="B25" s="68" t="s">
        <v>496</v>
      </c>
      <c r="C25" s="68" t="s">
        <v>497</v>
      </c>
      <c r="D25" s="68" t="s">
        <v>497</v>
      </c>
      <c r="E25" s="68" t="s">
        <v>497</v>
      </c>
      <c r="F25" s="85" t="s">
        <v>497</v>
      </c>
      <c r="G25" s="91" t="s">
        <v>498</v>
      </c>
      <c r="H25" s="91" t="s">
        <v>498</v>
      </c>
      <c r="I25" s="91" t="s">
        <v>498</v>
      </c>
      <c r="J25" s="91" t="s">
        <v>498</v>
      </c>
      <c r="K25" s="91" t="s">
        <v>498</v>
      </c>
      <c r="L25" s="91" t="s">
        <v>499</v>
      </c>
    </row>
    <row r="26" spans="1:12" x14ac:dyDescent="0.3">
      <c r="A26" s="68" t="s">
        <v>500</v>
      </c>
      <c r="B26" s="68" t="s">
        <v>501</v>
      </c>
      <c r="C26" s="87">
        <v>10</v>
      </c>
      <c r="D26" s="87">
        <v>10</v>
      </c>
      <c r="E26" s="87">
        <v>10</v>
      </c>
      <c r="F26" s="88">
        <v>10</v>
      </c>
      <c r="G26" s="88">
        <v>10</v>
      </c>
      <c r="H26" s="88">
        <v>10</v>
      </c>
      <c r="I26" s="88">
        <v>10</v>
      </c>
      <c r="J26" s="88">
        <v>10</v>
      </c>
      <c r="K26" s="88">
        <v>10</v>
      </c>
      <c r="L26" s="86">
        <v>10</v>
      </c>
    </row>
    <row r="27" spans="1:12" x14ac:dyDescent="0.3">
      <c r="A27" s="68" t="s">
        <v>502</v>
      </c>
      <c r="B27" s="68" t="s">
        <v>501</v>
      </c>
      <c r="C27" s="87">
        <v>25</v>
      </c>
      <c r="D27" s="87">
        <v>25</v>
      </c>
      <c r="E27" s="87">
        <v>25</v>
      </c>
      <c r="F27" s="88">
        <v>25</v>
      </c>
      <c r="G27" s="88">
        <v>25</v>
      </c>
      <c r="H27" s="88">
        <v>25</v>
      </c>
      <c r="I27" s="88">
        <v>25</v>
      </c>
      <c r="J27" s="88">
        <v>25</v>
      </c>
      <c r="K27" s="88">
        <v>25</v>
      </c>
      <c r="L27" s="86">
        <v>25</v>
      </c>
    </row>
    <row r="28" spans="1:12" x14ac:dyDescent="0.3">
      <c r="A28" s="68" t="s">
        <v>503</v>
      </c>
      <c r="B28" s="68" t="s">
        <v>504</v>
      </c>
      <c r="C28" s="68" t="s">
        <v>497</v>
      </c>
      <c r="D28" s="68" t="s">
        <v>505</v>
      </c>
      <c r="E28" s="68" t="s">
        <v>505</v>
      </c>
      <c r="F28" s="85" t="s">
        <v>505</v>
      </c>
      <c r="G28" s="85" t="s">
        <v>505</v>
      </c>
      <c r="H28" s="85" t="s">
        <v>505</v>
      </c>
      <c r="I28" s="85" t="s">
        <v>505</v>
      </c>
      <c r="J28" s="85" t="s">
        <v>505</v>
      </c>
      <c r="K28" s="85" t="s">
        <v>505</v>
      </c>
      <c r="L28" s="86" t="s">
        <v>505</v>
      </c>
    </row>
    <row r="29" spans="1:12" x14ac:dyDescent="0.3">
      <c r="A29" s="68" t="s">
        <v>506</v>
      </c>
      <c r="B29" s="68"/>
      <c r="C29" s="68">
        <v>0</v>
      </c>
      <c r="D29" s="68">
        <v>0</v>
      </c>
      <c r="E29" s="68">
        <v>0</v>
      </c>
      <c r="F29" s="85">
        <v>2</v>
      </c>
      <c r="G29" s="86">
        <v>0</v>
      </c>
      <c r="H29" s="86">
        <v>0</v>
      </c>
      <c r="I29" s="86">
        <v>5</v>
      </c>
      <c r="J29" s="86">
        <v>0</v>
      </c>
      <c r="K29" s="86">
        <v>0</v>
      </c>
      <c r="L29" s="86">
        <v>8</v>
      </c>
    </row>
    <row r="30" spans="1:12" x14ac:dyDescent="0.3">
      <c r="A30" s="68" t="s">
        <v>507</v>
      </c>
      <c r="B30" s="68"/>
      <c r="C30" s="68">
        <v>0</v>
      </c>
      <c r="D30" s="68">
        <v>0</v>
      </c>
      <c r="E30" s="68">
        <v>0</v>
      </c>
      <c r="F30" s="85">
        <v>262</v>
      </c>
      <c r="G30" s="86">
        <v>0</v>
      </c>
      <c r="H30" s="86">
        <v>0</v>
      </c>
      <c r="I30" s="86">
        <v>483</v>
      </c>
      <c r="J30" s="86">
        <v>0</v>
      </c>
      <c r="K30" s="86">
        <v>0</v>
      </c>
      <c r="L30" s="86">
        <v>550</v>
      </c>
    </row>
    <row r="31" spans="1:12" x14ac:dyDescent="0.3">
      <c r="A31" s="68" t="s">
        <v>508</v>
      </c>
      <c r="B31" s="68"/>
      <c r="C31" s="68">
        <v>0</v>
      </c>
      <c r="D31" s="68">
        <v>0</v>
      </c>
      <c r="E31" s="88">
        <v>1</v>
      </c>
      <c r="F31" s="88">
        <v>1</v>
      </c>
      <c r="G31" s="88">
        <v>1</v>
      </c>
      <c r="H31" s="88">
        <v>1</v>
      </c>
      <c r="I31" s="88">
        <v>1</v>
      </c>
      <c r="J31" s="88">
        <v>1</v>
      </c>
      <c r="K31" s="88">
        <v>1</v>
      </c>
      <c r="L31" s="88">
        <v>1</v>
      </c>
    </row>
    <row r="32" spans="1:12" x14ac:dyDescent="0.3">
      <c r="A32" s="68" t="s">
        <v>509</v>
      </c>
      <c r="B32" s="68"/>
      <c r="C32" s="68" t="s">
        <v>510</v>
      </c>
      <c r="D32" s="68" t="s">
        <v>510</v>
      </c>
      <c r="E32" s="68" t="s">
        <v>510</v>
      </c>
      <c r="F32" s="85" t="s">
        <v>510</v>
      </c>
      <c r="G32" s="86" t="s">
        <v>510</v>
      </c>
      <c r="H32" s="86" t="s">
        <v>510</v>
      </c>
      <c r="I32" s="86" t="s">
        <v>510</v>
      </c>
      <c r="J32" s="86" t="s">
        <v>510</v>
      </c>
      <c r="K32" s="86" t="s">
        <v>510</v>
      </c>
      <c r="L32" s="86" t="s">
        <v>510</v>
      </c>
    </row>
    <row r="33" spans="1:12" x14ac:dyDescent="0.3">
      <c r="A33" s="68" t="s">
        <v>511</v>
      </c>
      <c r="B33" s="68" t="s">
        <v>501</v>
      </c>
      <c r="C33" s="68" t="s">
        <v>512</v>
      </c>
      <c r="D33" s="68" t="s">
        <v>505</v>
      </c>
      <c r="E33" s="68" t="s">
        <v>505</v>
      </c>
      <c r="F33" s="85" t="s">
        <v>513</v>
      </c>
      <c r="G33" s="85" t="s">
        <v>513</v>
      </c>
      <c r="H33" s="85" t="s">
        <v>513</v>
      </c>
      <c r="I33" s="85" t="s">
        <v>513</v>
      </c>
      <c r="J33" s="85" t="s">
        <v>513</v>
      </c>
      <c r="K33" s="85" t="s">
        <v>513</v>
      </c>
      <c r="L33" s="85" t="s">
        <v>513</v>
      </c>
    </row>
    <row r="34" spans="1:12" x14ac:dyDescent="0.3">
      <c r="A34" s="68" t="s">
        <v>514</v>
      </c>
      <c r="B34" s="68" t="s">
        <v>501</v>
      </c>
      <c r="C34" s="68" t="s">
        <v>515</v>
      </c>
      <c r="D34" s="68" t="s">
        <v>505</v>
      </c>
      <c r="E34" s="68" t="s">
        <v>505</v>
      </c>
      <c r="F34" s="85" t="s">
        <v>513</v>
      </c>
      <c r="G34" s="85" t="s">
        <v>513</v>
      </c>
      <c r="H34" s="85" t="s">
        <v>513</v>
      </c>
      <c r="I34" s="85" t="s">
        <v>513</v>
      </c>
      <c r="J34" s="85" t="s">
        <v>513</v>
      </c>
      <c r="K34" s="85" t="s">
        <v>513</v>
      </c>
      <c r="L34" s="85" t="s">
        <v>513</v>
      </c>
    </row>
    <row r="35" spans="1:12" x14ac:dyDescent="0.3">
      <c r="A35" s="68" t="s">
        <v>516</v>
      </c>
      <c r="B35" s="68" t="s">
        <v>501</v>
      </c>
      <c r="C35" s="68" t="s">
        <v>505</v>
      </c>
      <c r="D35" s="68" t="s">
        <v>505</v>
      </c>
      <c r="E35" s="68" t="s">
        <v>505</v>
      </c>
      <c r="F35" s="85" t="s">
        <v>513</v>
      </c>
      <c r="G35" s="85" t="s">
        <v>513</v>
      </c>
      <c r="H35" s="85" t="s">
        <v>513</v>
      </c>
      <c r="I35" s="85" t="s">
        <v>513</v>
      </c>
      <c r="J35" s="85" t="s">
        <v>513</v>
      </c>
      <c r="K35" s="85" t="s">
        <v>513</v>
      </c>
      <c r="L35" s="85" t="s">
        <v>513</v>
      </c>
    </row>
    <row r="36" spans="1:12" ht="28.8" x14ac:dyDescent="0.3">
      <c r="A36" s="68" t="s">
        <v>517</v>
      </c>
      <c r="B36" s="68" t="s">
        <v>501</v>
      </c>
      <c r="C36" s="68" t="s">
        <v>518</v>
      </c>
      <c r="D36" s="68" t="s">
        <v>518</v>
      </c>
      <c r="E36" s="68" t="s">
        <v>519</v>
      </c>
      <c r="F36" s="85" t="s">
        <v>519</v>
      </c>
      <c r="G36" s="91" t="s">
        <v>520</v>
      </c>
      <c r="H36" s="86" t="s">
        <v>521</v>
      </c>
      <c r="I36" s="86" t="s">
        <v>519</v>
      </c>
      <c r="J36" s="91" t="s">
        <v>522</v>
      </c>
      <c r="K36" s="86" t="s">
        <v>519</v>
      </c>
      <c r="L36" s="86" t="s">
        <v>519</v>
      </c>
    </row>
    <row r="37" spans="1:12" ht="28.8" x14ac:dyDescent="0.3">
      <c r="A37" s="68" t="s">
        <v>523</v>
      </c>
      <c r="B37" s="68" t="s">
        <v>501</v>
      </c>
      <c r="C37" s="68" t="s">
        <v>524</v>
      </c>
      <c r="D37" s="68" t="s">
        <v>524</v>
      </c>
      <c r="E37" s="89" t="s">
        <v>525</v>
      </c>
      <c r="F37" s="85" t="s">
        <v>526</v>
      </c>
      <c r="G37" s="86" t="s">
        <v>521</v>
      </c>
      <c r="H37" s="91" t="s">
        <v>527</v>
      </c>
      <c r="I37" s="91" t="s">
        <v>528</v>
      </c>
      <c r="J37" s="86" t="s">
        <v>519</v>
      </c>
      <c r="K37" s="91" t="s">
        <v>528</v>
      </c>
      <c r="L37" s="91" t="s">
        <v>528</v>
      </c>
    </row>
    <row r="38" spans="1:12" x14ac:dyDescent="0.3">
      <c r="A38" s="68" t="s">
        <v>529</v>
      </c>
      <c r="B38" s="68" t="s">
        <v>501</v>
      </c>
      <c r="C38" s="68" t="s">
        <v>505</v>
      </c>
      <c r="D38" s="68" t="s">
        <v>505</v>
      </c>
      <c r="E38" s="68" t="s">
        <v>505</v>
      </c>
      <c r="F38" s="85" t="s">
        <v>513</v>
      </c>
      <c r="G38" s="85" t="s">
        <v>513</v>
      </c>
      <c r="H38" s="85" t="s">
        <v>513</v>
      </c>
      <c r="I38" s="86" t="s">
        <v>513</v>
      </c>
      <c r="J38" s="86" t="s">
        <v>513</v>
      </c>
      <c r="K38" s="86" t="s">
        <v>513</v>
      </c>
      <c r="L38" s="86" t="s">
        <v>513</v>
      </c>
    </row>
    <row r="39" spans="1:12" ht="28.8" x14ac:dyDescent="0.3">
      <c r="A39" s="68" t="s">
        <v>530</v>
      </c>
      <c r="B39" s="68" t="s">
        <v>501</v>
      </c>
      <c r="C39" s="68" t="s">
        <v>531</v>
      </c>
      <c r="D39" s="68" t="s">
        <v>531</v>
      </c>
      <c r="E39" s="68" t="s">
        <v>519</v>
      </c>
      <c r="F39" s="85" t="s">
        <v>519</v>
      </c>
      <c r="G39" s="91" t="s">
        <v>532</v>
      </c>
      <c r="H39" s="85" t="s">
        <v>519</v>
      </c>
      <c r="I39" s="86" t="s">
        <v>519</v>
      </c>
      <c r="J39" s="91" t="s">
        <v>532</v>
      </c>
      <c r="K39" s="86" t="s">
        <v>519</v>
      </c>
      <c r="L39" s="86" t="s">
        <v>519</v>
      </c>
    </row>
    <row r="40" spans="1:12" x14ac:dyDescent="0.3">
      <c r="A40" s="68" t="s">
        <v>533</v>
      </c>
      <c r="B40" s="68" t="s">
        <v>501</v>
      </c>
      <c r="C40" s="68" t="s">
        <v>505</v>
      </c>
      <c r="D40" s="68" t="s">
        <v>505</v>
      </c>
      <c r="E40" s="68" t="s">
        <v>505</v>
      </c>
      <c r="F40" s="68" t="s">
        <v>505</v>
      </c>
      <c r="G40" s="68" t="s">
        <v>505</v>
      </c>
      <c r="H40" s="68" t="s">
        <v>505</v>
      </c>
      <c r="I40" s="86" t="s">
        <v>513</v>
      </c>
      <c r="J40" s="86" t="s">
        <v>513</v>
      </c>
      <c r="K40" s="86" t="s">
        <v>513</v>
      </c>
      <c r="L40" s="86" t="s">
        <v>513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506FC-5B31-4BA7-8EBA-C24AA440853C}">
  <dimension ref="A1:A36"/>
  <sheetViews>
    <sheetView topLeftCell="A11" zoomScale="80" workbookViewId="0">
      <selection activeCell="A37" sqref="A37"/>
    </sheetView>
  </sheetViews>
  <sheetFormatPr defaultRowHeight="14.4" x14ac:dyDescent="0.3"/>
  <sheetData>
    <row r="1" spans="1:1" x14ac:dyDescent="0.3">
      <c r="A1" t="s">
        <v>534</v>
      </c>
    </row>
    <row r="2" spans="1:1" x14ac:dyDescent="0.3">
      <c r="A2" s="103" t="s">
        <v>535</v>
      </c>
    </row>
    <row r="4" spans="1:1" x14ac:dyDescent="0.3">
      <c r="A4" t="s">
        <v>536</v>
      </c>
    </row>
    <row r="5" spans="1:1" x14ac:dyDescent="0.3">
      <c r="A5" s="103" t="s">
        <v>537</v>
      </c>
    </row>
    <row r="6" spans="1:1" x14ac:dyDescent="0.3">
      <c r="A6" s="103" t="s">
        <v>538</v>
      </c>
    </row>
    <row r="7" spans="1:1" x14ac:dyDescent="0.3">
      <c r="A7" s="103" t="s">
        <v>539</v>
      </c>
    </row>
    <row r="9" spans="1:1" x14ac:dyDescent="0.3">
      <c r="A9" t="s">
        <v>540</v>
      </c>
    </row>
    <row r="10" spans="1:1" x14ac:dyDescent="0.3">
      <c r="A10" t="s">
        <v>541</v>
      </c>
    </row>
    <row r="11" spans="1:1" x14ac:dyDescent="0.3">
      <c r="A11" t="s">
        <v>542</v>
      </c>
    </row>
    <row r="12" spans="1:1" x14ac:dyDescent="0.3">
      <c r="A12" t="s">
        <v>543</v>
      </c>
    </row>
    <row r="13" spans="1:1" x14ac:dyDescent="0.3">
      <c r="A13" t="s">
        <v>544</v>
      </c>
    </row>
    <row r="15" spans="1:1" x14ac:dyDescent="0.3">
      <c r="A15" t="s">
        <v>545</v>
      </c>
    </row>
    <row r="17" spans="1:1" x14ac:dyDescent="0.3">
      <c r="A17" t="s">
        <v>546</v>
      </c>
    </row>
    <row r="19" spans="1:1" x14ac:dyDescent="0.3">
      <c r="A19" t="s">
        <v>547</v>
      </c>
    </row>
    <row r="21" spans="1:1" x14ac:dyDescent="0.3">
      <c r="A21" t="s">
        <v>548</v>
      </c>
    </row>
    <row r="22" spans="1:1" x14ac:dyDescent="0.3">
      <c r="A22" t="s">
        <v>549</v>
      </c>
    </row>
    <row r="23" spans="1:1" x14ac:dyDescent="0.3">
      <c r="A23" t="s">
        <v>550</v>
      </c>
    </row>
    <row r="24" spans="1:1" x14ac:dyDescent="0.3">
      <c r="A24" t="s">
        <v>551</v>
      </c>
    </row>
    <row r="26" spans="1:1" x14ac:dyDescent="0.3">
      <c r="A26" t="s">
        <v>552</v>
      </c>
    </row>
    <row r="28" spans="1:1" x14ac:dyDescent="0.3">
      <c r="A28" t="s">
        <v>553</v>
      </c>
    </row>
    <row r="30" spans="1:1" x14ac:dyDescent="0.3">
      <c r="A30" t="s">
        <v>554</v>
      </c>
    </row>
    <row r="31" spans="1:1" x14ac:dyDescent="0.3">
      <c r="A31" t="s">
        <v>555</v>
      </c>
    </row>
    <row r="32" spans="1:1" x14ac:dyDescent="0.3">
      <c r="A32" t="s">
        <v>556</v>
      </c>
    </row>
    <row r="34" spans="1:1" x14ac:dyDescent="0.3">
      <c r="A34" t="s">
        <v>557</v>
      </c>
    </row>
    <row r="35" spans="1:1" x14ac:dyDescent="0.3">
      <c r="A35" t="s">
        <v>555</v>
      </c>
    </row>
    <row r="36" spans="1:1" x14ac:dyDescent="0.3">
      <c r="A36" t="s">
        <v>558</v>
      </c>
    </row>
  </sheetData>
  <hyperlinks>
    <hyperlink ref="A2" r:id="rId1" display="../../../../../:p:/s/og_wnf/EQoJ0l9kG8FGpNU-rkDGDHQB9hFgXsYEPaeBwh4RvWEesQ?e=OQS7o5" xr:uid="{CEDA3BC4-D4FA-4CAD-A92A-34E29DF40DA0}"/>
    <hyperlink ref="A5" r:id="rId2" display="https://uwnetid-my.sharepoint.com/:b:/g/personal/mmorgan3_uw_edu/EVTppE8BCx1AtZbObOAiVisBk7rMyiPc4oet8l7ijQm0_w?e=EXatEF" xr:uid="{54BC7200-3F57-4600-A815-90B5B4000F1A}"/>
    <hyperlink ref="A6" r:id="rId3" display="https://uwnetid-my.sharepoint.com/:b:/g/personal/mmorgan3_uw_edu/EY965qSFlztOpKawm1FHCKUBLIoFLbUDIHg9KV_wtOUyig?e=yAygx0" xr:uid="{3F36E8C6-0C7D-4E19-B751-B84AFD180DDF}"/>
    <hyperlink ref="A7" r:id="rId4" display="https://uwnetid-my.sharepoint.com/:b:/g/personal/mmorgan3_uw_edu/EbDyiDQZ-4xPmXH92dj0sH4BlrkxgBruOdHk6Prtv-3Ogw?e=acCDAw" xr:uid="{19D9965B-A1AB-43CB-A242-B52E6A892E6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b06a5aa-8e31-4bdb-9b13-38c58a92ec8a" xsi:nil="true"/>
    <lcf76f155ced4ddcb4097134ff3c332f xmlns="7e118d3c-cf2c-4128-9e60-0888f7450a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195C43FE38834190AD02952D649FD7" ma:contentTypeVersion="19" ma:contentTypeDescription="Create a new document." ma:contentTypeScope="" ma:versionID="0380519f9b74b5abaf62ed559df5e66f">
  <xsd:schema xmlns:xsd="http://www.w3.org/2001/XMLSchema" xmlns:xs="http://www.w3.org/2001/XMLSchema" xmlns:p="http://schemas.microsoft.com/office/2006/metadata/properties" xmlns:ns2="7e118d3c-cf2c-4128-9e60-0888f7450af2" xmlns:ns3="dd525dda-2a34-4ca5-a8c9-9cc0327ce268" xmlns:ns4="ab06a5aa-8e31-4bdb-9b13-38c58a92ec8a" targetNamespace="http://schemas.microsoft.com/office/2006/metadata/properties" ma:root="true" ma:fieldsID="8ff845e621325300d74f5263f97ddb6c" ns2:_="" ns3:_="" ns4:_="">
    <xsd:import namespace="7e118d3c-cf2c-4128-9e60-0888f7450af2"/>
    <xsd:import namespace="dd525dda-2a34-4ca5-a8c9-9cc0327ce268"/>
    <xsd:import namespace="ab06a5aa-8e31-4bdb-9b13-38c58a92ec8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18d3c-cf2c-4128-9e60-0888f7450a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20148b9-20a4-48a0-acba-ba52d68a37a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525dda-2a34-4ca5-a8c9-9cc0327ce26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06a5aa-8e31-4bdb-9b13-38c58a92ec8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61a4719-a4eb-48db-9daa-44edcade66bf}" ma:internalName="TaxCatchAll" ma:showField="CatchAllData" ma:web="dd525dda-2a34-4ca5-a8c9-9cc0327ce2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818346-B620-4659-8A32-708A29FDF3C5}">
  <ds:schemaRefs>
    <ds:schemaRef ds:uri="http://schemas.microsoft.com/sharepoint/v3/contenttype/forms"/>
  </ds:schemaRefs>
</ds:datastoreItem>
</file>

<file path=customXml/itemProps2.xml><?xml version="1.0" encoding="utf-8"?>
<ds:datastoreItem xmlns:ds="http://schemas.openxmlformats.org/officeDocument/2006/customXml" ds:itemID="{64CBDBF4-FEE6-4D1D-8F03-5B4002E7BE5E}">
  <ds:schemaRefs>
    <ds:schemaRef ds:uri="http://schemas.microsoft.com/office/2006/metadata/properties"/>
    <ds:schemaRef ds:uri="http://purl.org/dc/dcmitype/"/>
    <ds:schemaRef ds:uri="http://schemas.microsoft.com/office/2006/documentManagement/types"/>
    <ds:schemaRef ds:uri="ab06a5aa-8e31-4bdb-9b13-38c58a92ec8a"/>
    <ds:schemaRef ds:uri="http://purl.org/dc/terms/"/>
    <ds:schemaRef ds:uri="http://www.w3.org/XML/1998/namespace"/>
    <ds:schemaRef ds:uri="dd525dda-2a34-4ca5-a8c9-9cc0327ce268"/>
    <ds:schemaRef ds:uri="http://schemas.microsoft.com/office/infopath/2007/PartnerControls"/>
    <ds:schemaRef ds:uri="http://schemas.openxmlformats.org/package/2006/metadata/core-properties"/>
    <ds:schemaRef ds:uri="7e118d3c-cf2c-4128-9e60-0888f7450af2"/>
    <ds:schemaRef ds:uri="http://purl.org/dc/elements/1.1/"/>
  </ds:schemaRefs>
</ds:datastoreItem>
</file>

<file path=customXml/itemProps3.xml><?xml version="1.0" encoding="utf-8"?>
<ds:datastoreItem xmlns:ds="http://schemas.openxmlformats.org/officeDocument/2006/customXml" ds:itemID="{9013F4E1-C0E1-4CF4-B547-F8E99BFFF5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18d3c-cf2c-4128-9e60-0888f7450af2"/>
    <ds:schemaRef ds:uri="dd525dda-2a34-4ca5-a8c9-9cc0327ce268"/>
    <ds:schemaRef ds:uri="ab06a5aa-8e31-4bdb-9b13-38c58a92ec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New process flow</vt:lpstr>
      <vt:lpstr>batch 3 data</vt:lpstr>
      <vt:lpstr>ICP-F</vt:lpstr>
      <vt:lpstr>SPTS-DRIE</vt:lpstr>
      <vt:lpstr>5 um depth</vt:lpstr>
      <vt:lpstr>DRIE etch rates</vt:lpstr>
      <vt:lpstr>Process flow</vt:lpstr>
      <vt:lpstr>Drop gauge</vt:lpstr>
      <vt:lpstr>batch 1 data</vt:lpstr>
      <vt:lpstr>DOE data</vt:lpstr>
      <vt:lpstr>DOE</vt:lpstr>
      <vt:lpstr>MM_Deep_3x_-3</vt:lpstr>
      <vt:lpstr>Important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Grace Tong</dc:creator>
  <cp:keywords/>
  <dc:description/>
  <cp:lastModifiedBy>Mick Deines</cp:lastModifiedBy>
  <cp:revision/>
  <dcterms:created xsi:type="dcterms:W3CDTF">2024-03-27T23:23:15Z</dcterms:created>
  <dcterms:modified xsi:type="dcterms:W3CDTF">2026-08-21T00:45:21Z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0x0101007A195C43FE38834190AD02952D649FD7</vt:lpwstr>
  </property>
  <property fmtid="{D5CDD505-2E9C-101B-9397-08002B2CF9AE}" pid="3" name="MediaServiceImageTags">
    <vt:lpwstr/>
  </property>
</Properties>
</file>